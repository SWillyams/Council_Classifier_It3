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tests/"/>
    </mc:Choice>
  </mc:AlternateContent>
  <xr:revisionPtr revIDLastSave="43" documentId="8_{83395460-D5DF-4D00-BB2B-721E835C0AB3}" xr6:coauthVersionLast="47" xr6:coauthVersionMax="47" xr10:uidLastSave="{DD463013-98D6-4488-B94F-DE5FF283A792}"/>
  <bookViews>
    <workbookView xWindow="38280" yWindow="5100" windowWidth="29040" windowHeight="15720" xr2:uid="{7D161476-3247-4FB5-8AF3-A7C5416588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" i="1" l="1"/>
  <c r="H31" i="1"/>
  <c r="I31" i="1"/>
  <c r="F31" i="1"/>
  <c r="G30" i="1"/>
  <c r="H30" i="1"/>
  <c r="I30" i="1"/>
  <c r="F30" i="1"/>
  <c r="I32" i="1"/>
  <c r="H32" i="1"/>
  <c r="G32" i="1"/>
  <c r="F32" i="1"/>
  <c r="F24" i="1"/>
  <c r="R11" i="1"/>
  <c r="R12" i="1"/>
  <c r="R13" i="1"/>
  <c r="R10" i="1"/>
  <c r="R5" i="1"/>
  <c r="R6" i="1"/>
  <c r="R7" i="1"/>
  <c r="R4" i="1"/>
  <c r="G25" i="1"/>
  <c r="H25" i="1"/>
  <c r="I25" i="1"/>
  <c r="F25" i="1"/>
  <c r="G24" i="1"/>
  <c r="H24" i="1"/>
  <c r="H26" i="1" s="1"/>
  <c r="I24" i="1"/>
  <c r="G19" i="1"/>
  <c r="H19" i="1"/>
  <c r="I19" i="1"/>
  <c r="G18" i="1"/>
  <c r="G20" i="1" s="1"/>
  <c r="H18" i="1"/>
  <c r="H20" i="1" s="1"/>
  <c r="I18" i="1"/>
  <c r="F18" i="1"/>
  <c r="G26" i="1"/>
  <c r="I26" i="1"/>
  <c r="F26" i="1"/>
  <c r="F19" i="1"/>
  <c r="F20" i="1" s="1"/>
  <c r="I20" i="1"/>
  <c r="G6" i="1"/>
  <c r="H6" i="1"/>
  <c r="I6" i="1"/>
  <c r="F6" i="1"/>
</calcChain>
</file>

<file path=xl/sharedStrings.xml><?xml version="1.0" encoding="utf-8"?>
<sst xmlns="http://schemas.openxmlformats.org/spreadsheetml/2006/main" count="65" uniqueCount="20">
  <si>
    <t>Road</t>
  </si>
  <si>
    <t>safety</t>
  </si>
  <si>
    <t>waste</t>
  </si>
  <si>
    <t>water</t>
  </si>
  <si>
    <t>log</t>
  </si>
  <si>
    <t>nb</t>
  </si>
  <si>
    <t>True:</t>
  </si>
  <si>
    <t>Sum</t>
  </si>
  <si>
    <t>False neg</t>
  </si>
  <si>
    <t>False pos</t>
  </si>
  <si>
    <t>Accurate</t>
  </si>
  <si>
    <t>road</t>
  </si>
  <si>
    <t>Log</t>
  </si>
  <si>
    <t>Weighted by Inverse of often a model choses a category</t>
  </si>
  <si>
    <t>sum</t>
  </si>
  <si>
    <t>acc</t>
  </si>
  <si>
    <t>Sum Pos</t>
  </si>
  <si>
    <t>Weighted by probability it's correct</t>
  </si>
  <si>
    <t>false pos</t>
  </si>
  <si>
    <t>Weighted by prob it's a false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</si>
</sst>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B0F9-1470-468F-B190-456D5F097E75}">
  <dimension ref="E3:X32"/>
  <sheetViews>
    <sheetView tabSelected="1" workbookViewId="0">
      <selection activeCell="L30" sqref="L30"/>
    </sheetView>
  </sheetViews>
  <sheetFormatPr defaultRowHeight="15" x14ac:dyDescent="0.25"/>
  <sheetData>
    <row r="3" spans="5:24" x14ac:dyDescent="0.25">
      <c r="F3" t="s">
        <v>0</v>
      </c>
      <c r="G3" t="s">
        <v>1</v>
      </c>
      <c r="H3" t="s">
        <v>2</v>
      </c>
      <c r="I3" t="s">
        <v>3</v>
      </c>
      <c r="N3" t="s">
        <v>12</v>
      </c>
      <c r="O3" t="s">
        <v>8</v>
      </c>
      <c r="P3" t="s">
        <v>9</v>
      </c>
      <c r="Q3" t="s">
        <v>10</v>
      </c>
      <c r="R3" t="s">
        <v>16</v>
      </c>
      <c r="T3" t="s">
        <v>11</v>
      </c>
      <c r="U3" t="s">
        <v>1</v>
      </c>
      <c r="V3" t="s">
        <v>2</v>
      </c>
      <c r="W3" t="s">
        <v>3</v>
      </c>
    </row>
    <row r="4" spans="5:24" ht="15.75" x14ac:dyDescent="0.25">
      <c r="E4" t="s">
        <v>4</v>
      </c>
      <c r="F4" s="1">
        <v>0.27125580999999999</v>
      </c>
      <c r="G4" s="1">
        <v>0.27009460000000002</v>
      </c>
      <c r="H4" s="1">
        <v>0.22060160000000001</v>
      </c>
      <c r="I4" s="1">
        <v>0.23804797999999999</v>
      </c>
      <c r="N4" t="s">
        <v>11</v>
      </c>
      <c r="O4">
        <v>22</v>
      </c>
      <c r="P4">
        <v>12</v>
      </c>
      <c r="Q4">
        <v>8</v>
      </c>
      <c r="R4">
        <f>SUM(P4:Q4)</f>
        <v>20</v>
      </c>
      <c r="S4" t="s">
        <v>14</v>
      </c>
      <c r="T4">
        <v>20</v>
      </c>
      <c r="U4">
        <v>38</v>
      </c>
      <c r="V4">
        <v>30</v>
      </c>
      <c r="W4">
        <v>32</v>
      </c>
    </row>
    <row r="5" spans="5:24" ht="15.75" x14ac:dyDescent="0.25">
      <c r="E5" t="s">
        <v>5</v>
      </c>
      <c r="F5" s="1">
        <v>0.24877165000000001</v>
      </c>
      <c r="G5" s="1">
        <v>0.25267306</v>
      </c>
      <c r="H5" s="1">
        <v>0.22661661999999999</v>
      </c>
      <c r="I5" s="1">
        <v>0.27193866999999999</v>
      </c>
      <c r="N5" t="s">
        <v>2</v>
      </c>
      <c r="O5">
        <v>10</v>
      </c>
      <c r="P5">
        <v>10</v>
      </c>
      <c r="Q5">
        <v>20</v>
      </c>
      <c r="R5">
        <f t="shared" ref="R5:R7" si="0">SUM(P5:Q5)</f>
        <v>30</v>
      </c>
      <c r="S5" t="s">
        <v>15</v>
      </c>
      <c r="T5">
        <v>8</v>
      </c>
      <c r="U5">
        <v>18</v>
      </c>
      <c r="V5">
        <v>20</v>
      </c>
      <c r="W5">
        <v>25</v>
      </c>
    </row>
    <row r="6" spans="5:24" x14ac:dyDescent="0.25">
      <c r="E6" t="s">
        <v>7</v>
      </c>
      <c r="F6">
        <f>SUM(F4:F5)</f>
        <v>0.52002746</v>
      </c>
      <c r="G6">
        <f t="shared" ref="G6:I6" si="1">SUM(G4:G5)</f>
        <v>0.52276765999999997</v>
      </c>
      <c r="H6">
        <f t="shared" si="1"/>
        <v>0.44721822</v>
      </c>
      <c r="I6">
        <f t="shared" si="1"/>
        <v>0.50998664999999999</v>
      </c>
      <c r="N6" t="s">
        <v>1</v>
      </c>
      <c r="O6">
        <v>12</v>
      </c>
      <c r="P6">
        <v>20</v>
      </c>
      <c r="Q6">
        <v>18</v>
      </c>
      <c r="R6">
        <f t="shared" si="0"/>
        <v>38</v>
      </c>
      <c r="S6" t="s">
        <v>18</v>
      </c>
      <c r="T6">
        <v>12</v>
      </c>
      <c r="U6">
        <v>20</v>
      </c>
      <c r="V6">
        <v>10</v>
      </c>
      <c r="W6">
        <v>7</v>
      </c>
    </row>
    <row r="7" spans="5:24" x14ac:dyDescent="0.25">
      <c r="N7" t="s">
        <v>3</v>
      </c>
      <c r="O7">
        <v>5</v>
      </c>
      <c r="P7">
        <v>7</v>
      </c>
      <c r="Q7">
        <v>25</v>
      </c>
      <c r="R7">
        <f t="shared" si="0"/>
        <v>32</v>
      </c>
      <c r="S7" t="s">
        <v>8</v>
      </c>
      <c r="T7">
        <v>22</v>
      </c>
      <c r="U7">
        <v>12</v>
      </c>
      <c r="V7">
        <v>10</v>
      </c>
      <c r="W7">
        <v>5</v>
      </c>
    </row>
    <row r="9" spans="5:24" x14ac:dyDescent="0.25">
      <c r="O9" t="s">
        <v>8</v>
      </c>
      <c r="P9" t="s">
        <v>9</v>
      </c>
      <c r="Q9" t="s">
        <v>10</v>
      </c>
      <c r="U9" t="s">
        <v>11</v>
      </c>
      <c r="V9" t="s">
        <v>1</v>
      </c>
      <c r="W9" t="s">
        <v>2</v>
      </c>
      <c r="X9" t="s">
        <v>3</v>
      </c>
    </row>
    <row r="10" spans="5:24" x14ac:dyDescent="0.25">
      <c r="N10" t="s">
        <v>11</v>
      </c>
      <c r="O10">
        <v>21</v>
      </c>
      <c r="P10">
        <v>21</v>
      </c>
      <c r="Q10">
        <v>9</v>
      </c>
      <c r="R10">
        <f>SUM(P10:Q10)</f>
        <v>30</v>
      </c>
      <c r="T10" t="s">
        <v>14</v>
      </c>
      <c r="U10">
        <v>30</v>
      </c>
      <c r="V10">
        <v>25</v>
      </c>
      <c r="W10">
        <v>26</v>
      </c>
      <c r="X10">
        <v>39</v>
      </c>
    </row>
    <row r="11" spans="5:24" x14ac:dyDescent="0.25">
      <c r="N11" t="s">
        <v>2</v>
      </c>
      <c r="O11">
        <v>10</v>
      </c>
      <c r="P11">
        <v>6</v>
      </c>
      <c r="Q11">
        <v>20</v>
      </c>
      <c r="R11">
        <f t="shared" ref="R11:R13" si="2">SUM(P11:Q11)</f>
        <v>26</v>
      </c>
      <c r="T11" t="s">
        <v>15</v>
      </c>
      <c r="U11">
        <v>9</v>
      </c>
      <c r="V11">
        <v>15</v>
      </c>
      <c r="W11">
        <v>20</v>
      </c>
      <c r="X11">
        <v>25</v>
      </c>
    </row>
    <row r="12" spans="5:24" x14ac:dyDescent="0.25">
      <c r="N12" t="s">
        <v>1</v>
      </c>
      <c r="O12">
        <v>15</v>
      </c>
      <c r="P12">
        <v>10</v>
      </c>
      <c r="Q12">
        <v>15</v>
      </c>
      <c r="R12">
        <f t="shared" si="2"/>
        <v>25</v>
      </c>
      <c r="T12" t="s">
        <v>18</v>
      </c>
      <c r="U12">
        <v>21</v>
      </c>
      <c r="V12">
        <v>10</v>
      </c>
      <c r="W12">
        <v>6</v>
      </c>
      <c r="X12">
        <v>14</v>
      </c>
    </row>
    <row r="13" spans="5:24" x14ac:dyDescent="0.25">
      <c r="E13" t="s">
        <v>6</v>
      </c>
      <c r="F13" t="s">
        <v>0</v>
      </c>
      <c r="N13" t="s">
        <v>3</v>
      </c>
      <c r="O13">
        <v>5</v>
      </c>
      <c r="P13">
        <v>14</v>
      </c>
      <c r="Q13">
        <v>25</v>
      </c>
      <c r="R13">
        <f t="shared" si="2"/>
        <v>39</v>
      </c>
      <c r="T13" t="s">
        <v>8</v>
      </c>
      <c r="U13">
        <v>21</v>
      </c>
      <c r="V13">
        <v>15</v>
      </c>
      <c r="W13">
        <v>10</v>
      </c>
      <c r="X13">
        <v>5</v>
      </c>
    </row>
    <row r="16" spans="5:24" x14ac:dyDescent="0.25">
      <c r="E16" t="s">
        <v>13</v>
      </c>
    </row>
    <row r="17" spans="5:9" x14ac:dyDescent="0.25">
      <c r="F17" t="s">
        <v>0</v>
      </c>
      <c r="G17" t="s">
        <v>1</v>
      </c>
      <c r="H17" t="s">
        <v>2</v>
      </c>
      <c r="I17" t="s">
        <v>3</v>
      </c>
    </row>
    <row r="18" spans="5:9" x14ac:dyDescent="0.25">
      <c r="E18" t="s">
        <v>4</v>
      </c>
      <c r="F18">
        <f>F4/T4</f>
        <v>1.35627905E-2</v>
      </c>
      <c r="G18">
        <f t="shared" ref="G18:I18" si="3">G4/U4</f>
        <v>7.1077526315789482E-3</v>
      </c>
      <c r="H18">
        <f t="shared" si="3"/>
        <v>7.3533866666666671E-3</v>
      </c>
      <c r="I18">
        <f t="shared" si="3"/>
        <v>7.4389993749999998E-3</v>
      </c>
    </row>
    <row r="19" spans="5:9" x14ac:dyDescent="0.25">
      <c r="E19" t="s">
        <v>5</v>
      </c>
      <c r="F19">
        <f>F5/U10</f>
        <v>8.2923883333333344E-3</v>
      </c>
      <c r="G19">
        <f t="shared" ref="G19:I19" si="4">G5/V10</f>
        <v>1.0106922400000001E-2</v>
      </c>
      <c r="H19">
        <f t="shared" si="4"/>
        <v>8.7160238461538465E-3</v>
      </c>
      <c r="I19">
        <f t="shared" si="4"/>
        <v>6.9727864102564104E-3</v>
      </c>
    </row>
    <row r="20" spans="5:9" x14ac:dyDescent="0.25">
      <c r="E20" t="s">
        <v>14</v>
      </c>
      <c r="F20">
        <f>SUM(F18:F19)</f>
        <v>2.1855178833333336E-2</v>
      </c>
      <c r="G20">
        <f t="shared" ref="G20:I20" si="5">SUM(G18:G19)</f>
        <v>1.721467503157895E-2</v>
      </c>
      <c r="H20">
        <f t="shared" si="5"/>
        <v>1.6069410512820514E-2</v>
      </c>
      <c r="I20">
        <f t="shared" si="5"/>
        <v>1.441178578525641E-2</v>
      </c>
    </row>
    <row r="22" spans="5:9" x14ac:dyDescent="0.25">
      <c r="E22" t="s">
        <v>17</v>
      </c>
    </row>
    <row r="23" spans="5:9" x14ac:dyDescent="0.25">
      <c r="F23" t="s">
        <v>0</v>
      </c>
      <c r="G23" t="s">
        <v>1</v>
      </c>
      <c r="H23" t="s">
        <v>2</v>
      </c>
      <c r="I23" t="s">
        <v>3</v>
      </c>
    </row>
    <row r="24" spans="5:9" x14ac:dyDescent="0.25">
      <c r="E24" t="s">
        <v>4</v>
      </c>
      <c r="F24">
        <f>F4*(T5/T4)</f>
        <v>0.108502324</v>
      </c>
      <c r="G24">
        <f t="shared" ref="G24:I24" si="6">G4*(U5/U4)</f>
        <v>0.12793954736842106</v>
      </c>
      <c r="H24">
        <f t="shared" si="6"/>
        <v>0.14706773333333334</v>
      </c>
      <c r="I24">
        <f t="shared" si="6"/>
        <v>0.18597498437499999</v>
      </c>
    </row>
    <row r="25" spans="5:9" x14ac:dyDescent="0.25">
      <c r="E25" t="s">
        <v>5</v>
      </c>
      <c r="F25">
        <f>F5*(U11/U10)</f>
        <v>7.4631495000000006E-2</v>
      </c>
      <c r="G25">
        <f t="shared" ref="G25:I25" si="7">G5*(V11/V10)</f>
        <v>0.15160383599999999</v>
      </c>
      <c r="H25">
        <f t="shared" si="7"/>
        <v>0.17432047692307692</v>
      </c>
      <c r="I25">
        <f t="shared" si="7"/>
        <v>0.17431966025641027</v>
      </c>
    </row>
    <row r="26" spans="5:9" x14ac:dyDescent="0.25">
      <c r="E26" t="s">
        <v>14</v>
      </c>
      <c r="F26">
        <f>SUM(F24:F25)</f>
        <v>0.183133819</v>
      </c>
      <c r="G26">
        <f t="shared" ref="G26" si="8">SUM(G24:G25)</f>
        <v>0.27954338336842105</v>
      </c>
      <c r="H26">
        <f t="shared" ref="H26" si="9">SUM(H24:H25)</f>
        <v>0.32138821025641029</v>
      </c>
      <c r="I26">
        <f t="shared" ref="I26" si="10">SUM(I24:I25)</f>
        <v>0.36029464463141025</v>
      </c>
    </row>
    <row r="28" spans="5:9" x14ac:dyDescent="0.25">
      <c r="E28" t="s">
        <v>19</v>
      </c>
    </row>
    <row r="29" spans="5:9" x14ac:dyDescent="0.25">
      <c r="F29" t="s">
        <v>0</v>
      </c>
      <c r="G29" t="s">
        <v>1</v>
      </c>
      <c r="H29" t="s">
        <v>2</v>
      </c>
      <c r="I29" t="s">
        <v>3</v>
      </c>
    </row>
    <row r="30" spans="5:9" x14ac:dyDescent="0.25">
      <c r="E30" t="s">
        <v>4</v>
      </c>
      <c r="F30">
        <f>F4*T7</f>
        <v>5.9676278199999997</v>
      </c>
      <c r="G30">
        <f t="shared" ref="G30:I30" si="11">G4*U7</f>
        <v>3.2411352000000004</v>
      </c>
      <c r="H30">
        <f t="shared" si="11"/>
        <v>2.206016</v>
      </c>
      <c r="I30">
        <f t="shared" si="11"/>
        <v>1.1902398999999999</v>
      </c>
    </row>
    <row r="31" spans="5:9" x14ac:dyDescent="0.25">
      <c r="E31" t="s">
        <v>5</v>
      </c>
      <c r="F31">
        <f>F5*U13</f>
        <v>5.2242046499999999</v>
      </c>
      <c r="G31">
        <f t="shared" ref="G31:I31" si="12">G5*V13</f>
        <v>3.7900958999999999</v>
      </c>
      <c r="H31">
        <f t="shared" si="12"/>
        <v>2.2661661999999998</v>
      </c>
      <c r="I31">
        <f t="shared" si="12"/>
        <v>1.3596933499999999</v>
      </c>
    </row>
    <row r="32" spans="5:9" x14ac:dyDescent="0.25">
      <c r="E32" t="s">
        <v>14</v>
      </c>
      <c r="F32">
        <f>SUM(F30:F31)</f>
        <v>11.19183247</v>
      </c>
      <c r="G32">
        <f t="shared" ref="G32" si="13">SUM(G30:G31)</f>
        <v>7.0312311000000003</v>
      </c>
      <c r="H32">
        <f t="shared" ref="H32" si="14">SUM(H30:H31)</f>
        <v>4.4721821999999998</v>
      </c>
      <c r="I32">
        <f t="shared" ref="I32" si="15">SUM(I30:I31)</f>
        <v>2.5499332499999996</v>
      </c>
    </row>
  </sheetData>
  <conditionalFormatting sqref="F4:I5">
    <cfRule type="top10" dxfId="7" priority="8" rank="1"/>
  </conditionalFormatting>
  <conditionalFormatting sqref="F6:I6">
    <cfRule type="top10" dxfId="6" priority="7" rank="1"/>
  </conditionalFormatting>
  <conditionalFormatting sqref="F18:I19">
    <cfRule type="top10" dxfId="5" priority="6" rank="1"/>
  </conditionalFormatting>
  <conditionalFormatting sqref="F20:I20">
    <cfRule type="top10" dxfId="4" priority="5" rank="1"/>
  </conditionalFormatting>
  <conditionalFormatting sqref="F24:I25">
    <cfRule type="top10" dxfId="3" priority="4" rank="1"/>
  </conditionalFormatting>
  <conditionalFormatting sqref="F26:I26">
    <cfRule type="top10" dxfId="2" priority="3" rank="1"/>
  </conditionalFormatting>
  <conditionalFormatting sqref="F30:I31">
    <cfRule type="top10" dxfId="1" priority="2" rank="1"/>
  </conditionalFormatting>
  <conditionalFormatting sqref="F32:I32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Willyams [stw0454]</dc:creator>
  <cp:lastModifiedBy>Sam Willyams [stw0454]</cp:lastModifiedBy>
  <dcterms:created xsi:type="dcterms:W3CDTF">2026-10-20T22:47:39Z</dcterms:created>
  <dcterms:modified xsi:type="dcterms:W3CDTF">2026-10-21T00:42:52Z</dcterms:modified>
</cp:coreProperties>
</file>