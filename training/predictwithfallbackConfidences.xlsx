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"/>
    </mc:Choice>
  </mc:AlternateContent>
  <xr:revisionPtr revIDLastSave="776" documentId="8_{E5B96B62-7317-436E-A1E6-0E82388C5468}" xr6:coauthVersionLast="47" xr6:coauthVersionMax="47" xr10:uidLastSave="{C2637E30-B3FE-491D-8981-F5843CBC4587}"/>
  <bookViews>
    <workbookView xWindow="38280" yWindow="5100" windowWidth="29040" windowHeight="15720" xr2:uid="{BF045B4D-9EDB-4458-888E-6D1998CA9ADD}"/>
  </bookViews>
  <sheets>
    <sheet name="predictwithfallbackConfidence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3" i="1"/>
  <c r="H7" i="3"/>
  <c r="G11" i="3"/>
  <c r="J12" i="3"/>
  <c r="I14" i="3"/>
  <c r="F12" i="3"/>
  <c r="G12" i="3"/>
  <c r="H13" i="3"/>
  <c r="G25" i="3"/>
  <c r="G5" i="3"/>
  <c r="E64" i="3"/>
  <c r="AN66" i="1"/>
  <c r="AJ66" i="1"/>
  <c r="G85" i="1"/>
  <c r="AS68" i="1"/>
  <c r="U69" i="1"/>
  <c r="S3" i="1"/>
  <c r="H66" i="1"/>
  <c r="H86" i="1" s="1"/>
  <c r="I66" i="1"/>
  <c r="I86" i="1" s="1"/>
  <c r="J66" i="1"/>
  <c r="J86" i="1" s="1"/>
  <c r="K66" i="1"/>
  <c r="L66" i="1"/>
  <c r="L86" i="1" s="1"/>
  <c r="M66" i="1"/>
  <c r="M86" i="1" s="1"/>
  <c r="N66" i="1"/>
  <c r="N86" i="1" s="1"/>
  <c r="G66" i="1"/>
  <c r="G86" i="1" s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H85" i="1"/>
  <c r="I85" i="1"/>
  <c r="J85" i="1"/>
  <c r="K85" i="1"/>
  <c r="L85" i="1"/>
  <c r="M85" i="1"/>
  <c r="N85" i="1"/>
  <c r="H80" i="1"/>
  <c r="I80" i="1"/>
  <c r="J80" i="1"/>
  <c r="K80" i="1"/>
  <c r="L80" i="1"/>
  <c r="M80" i="1"/>
  <c r="N80" i="1"/>
  <c r="G80" i="1"/>
  <c r="BO3" i="1"/>
  <c r="H68" i="1"/>
  <c r="AJ15" i="2"/>
  <c r="AI15" i="2"/>
  <c r="AH15" i="2"/>
  <c r="AG15" i="2"/>
  <c r="AH9" i="2"/>
  <c r="AI9" i="2"/>
  <c r="AJ9" i="2"/>
  <c r="AG9" i="2"/>
  <c r="AA4" i="2"/>
  <c r="AB4" i="2"/>
  <c r="AC4" i="2"/>
  <c r="AD4" i="2"/>
  <c r="AA5" i="2"/>
  <c r="AB5" i="2"/>
  <c r="AC5" i="2"/>
  <c r="AD5" i="2"/>
  <c r="AA6" i="2"/>
  <c r="AB6" i="2"/>
  <c r="AC6" i="2"/>
  <c r="AD6" i="2"/>
  <c r="AA7" i="2"/>
  <c r="AB7" i="2"/>
  <c r="AC7" i="2"/>
  <c r="AD7" i="2"/>
  <c r="AA8" i="2"/>
  <c r="AB8" i="2"/>
  <c r="AC8" i="2"/>
  <c r="AD8" i="2"/>
  <c r="AA9" i="2"/>
  <c r="AB9" i="2"/>
  <c r="AC9" i="2"/>
  <c r="AD9" i="2"/>
  <c r="AA10" i="2"/>
  <c r="AB10" i="2"/>
  <c r="AC10" i="2"/>
  <c r="AD10" i="2"/>
  <c r="AA11" i="2"/>
  <c r="AB11" i="2"/>
  <c r="AC11" i="2"/>
  <c r="AD11" i="2"/>
  <c r="AA12" i="2"/>
  <c r="AB12" i="2"/>
  <c r="AC12" i="2"/>
  <c r="AD12" i="2"/>
  <c r="AA13" i="2"/>
  <c r="AB13" i="2"/>
  <c r="AC13" i="2"/>
  <c r="AD13" i="2"/>
  <c r="AA14" i="2"/>
  <c r="AB14" i="2"/>
  <c r="AC14" i="2"/>
  <c r="AD14" i="2"/>
  <c r="AA15" i="2"/>
  <c r="AB15" i="2"/>
  <c r="AC15" i="2"/>
  <c r="AD15" i="2"/>
  <c r="AA16" i="2"/>
  <c r="AB16" i="2"/>
  <c r="AC16" i="2"/>
  <c r="AD16" i="2"/>
  <c r="AA17" i="2"/>
  <c r="AB17" i="2"/>
  <c r="AC17" i="2"/>
  <c r="AD17" i="2"/>
  <c r="AA18" i="2"/>
  <c r="AB18" i="2"/>
  <c r="AC18" i="2"/>
  <c r="AD18" i="2"/>
  <c r="AA19" i="2"/>
  <c r="AB19" i="2"/>
  <c r="AC19" i="2"/>
  <c r="AD19" i="2"/>
  <c r="AA20" i="2"/>
  <c r="AB20" i="2"/>
  <c r="AC20" i="2"/>
  <c r="AD20" i="2"/>
  <c r="AA21" i="2"/>
  <c r="AB21" i="2"/>
  <c r="AC21" i="2"/>
  <c r="AD21" i="2"/>
  <c r="AA22" i="2"/>
  <c r="AB22" i="2"/>
  <c r="AC22" i="2"/>
  <c r="AD22" i="2"/>
  <c r="AA23" i="2"/>
  <c r="AB23" i="2"/>
  <c r="AC23" i="2"/>
  <c r="AD23" i="2"/>
  <c r="AA24" i="2"/>
  <c r="AB24" i="2"/>
  <c r="AC24" i="2"/>
  <c r="AD24" i="2"/>
  <c r="AA25" i="2"/>
  <c r="AB25" i="2"/>
  <c r="AC25" i="2"/>
  <c r="AD25" i="2"/>
  <c r="AA26" i="2"/>
  <c r="AB26" i="2"/>
  <c r="AC26" i="2"/>
  <c r="AD26" i="2"/>
  <c r="AA27" i="2"/>
  <c r="AB27" i="2"/>
  <c r="AC27" i="2"/>
  <c r="AD27" i="2"/>
  <c r="AA28" i="2"/>
  <c r="AB28" i="2"/>
  <c r="AC28" i="2"/>
  <c r="AD28" i="2"/>
  <c r="AA29" i="2"/>
  <c r="AB29" i="2"/>
  <c r="AC29" i="2"/>
  <c r="AD29" i="2"/>
  <c r="AA30" i="2"/>
  <c r="AB30" i="2"/>
  <c r="AC30" i="2"/>
  <c r="AD30" i="2"/>
  <c r="AA31" i="2"/>
  <c r="AB31" i="2"/>
  <c r="AC31" i="2"/>
  <c r="AD31" i="2"/>
  <c r="AA32" i="2"/>
  <c r="AB32" i="2"/>
  <c r="AC32" i="2"/>
  <c r="AD32" i="2"/>
  <c r="AA33" i="2"/>
  <c r="AB33" i="2"/>
  <c r="AC33" i="2"/>
  <c r="AD33" i="2"/>
  <c r="AA34" i="2"/>
  <c r="AB34" i="2"/>
  <c r="AC34" i="2"/>
  <c r="AD34" i="2"/>
  <c r="AA35" i="2"/>
  <c r="AB35" i="2"/>
  <c r="AC35" i="2"/>
  <c r="AD35" i="2"/>
  <c r="AA36" i="2"/>
  <c r="AB36" i="2"/>
  <c r="AC36" i="2"/>
  <c r="AD36" i="2"/>
  <c r="AA37" i="2"/>
  <c r="AB37" i="2"/>
  <c r="AC37" i="2"/>
  <c r="AD37" i="2"/>
  <c r="AA38" i="2"/>
  <c r="AB38" i="2"/>
  <c r="AC38" i="2"/>
  <c r="AD38" i="2"/>
  <c r="AA39" i="2"/>
  <c r="AB39" i="2"/>
  <c r="AC39" i="2"/>
  <c r="AD39" i="2"/>
  <c r="AA40" i="2"/>
  <c r="AB40" i="2"/>
  <c r="AC40" i="2"/>
  <c r="AD40" i="2"/>
  <c r="AA41" i="2"/>
  <c r="AB41" i="2"/>
  <c r="AC41" i="2"/>
  <c r="AD41" i="2"/>
  <c r="AA42" i="2"/>
  <c r="AB42" i="2"/>
  <c r="AC42" i="2"/>
  <c r="AD42" i="2"/>
  <c r="AA43" i="2"/>
  <c r="AB43" i="2"/>
  <c r="AC43" i="2"/>
  <c r="AD43" i="2"/>
  <c r="AA44" i="2"/>
  <c r="AB44" i="2"/>
  <c r="AC44" i="2"/>
  <c r="AD44" i="2"/>
  <c r="AA45" i="2"/>
  <c r="AB45" i="2"/>
  <c r="AC45" i="2"/>
  <c r="AD45" i="2"/>
  <c r="AA46" i="2"/>
  <c r="AB46" i="2"/>
  <c r="AC46" i="2"/>
  <c r="AD46" i="2"/>
  <c r="AA47" i="2"/>
  <c r="AB47" i="2"/>
  <c r="AC47" i="2"/>
  <c r="AD47" i="2"/>
  <c r="AA48" i="2"/>
  <c r="AB48" i="2"/>
  <c r="AC48" i="2"/>
  <c r="AD48" i="2"/>
  <c r="AA49" i="2"/>
  <c r="AB49" i="2"/>
  <c r="AC49" i="2"/>
  <c r="AD49" i="2"/>
  <c r="AA50" i="2"/>
  <c r="AB50" i="2"/>
  <c r="AC50" i="2"/>
  <c r="AD50" i="2"/>
  <c r="AA51" i="2"/>
  <c r="AB51" i="2"/>
  <c r="AC51" i="2"/>
  <c r="AD51" i="2"/>
  <c r="AA52" i="2"/>
  <c r="AB52" i="2"/>
  <c r="AC52" i="2"/>
  <c r="AD52" i="2"/>
  <c r="AA53" i="2"/>
  <c r="AB53" i="2"/>
  <c r="AC53" i="2"/>
  <c r="AD53" i="2"/>
  <c r="AA54" i="2"/>
  <c r="AB54" i="2"/>
  <c r="AC54" i="2"/>
  <c r="AD54" i="2"/>
  <c r="AA55" i="2"/>
  <c r="AB55" i="2"/>
  <c r="AC55" i="2"/>
  <c r="AD55" i="2"/>
  <c r="AA56" i="2"/>
  <c r="AB56" i="2"/>
  <c r="AC56" i="2"/>
  <c r="AD56" i="2"/>
  <c r="AA57" i="2"/>
  <c r="AB57" i="2"/>
  <c r="AC57" i="2"/>
  <c r="AD57" i="2"/>
  <c r="AA58" i="2"/>
  <c r="AB58" i="2"/>
  <c r="AC58" i="2"/>
  <c r="AD58" i="2"/>
  <c r="AA59" i="2"/>
  <c r="AB59" i="2"/>
  <c r="AC59" i="2"/>
  <c r="AD59" i="2"/>
  <c r="AA60" i="2"/>
  <c r="AB60" i="2"/>
  <c r="AC60" i="2"/>
  <c r="AD60" i="2"/>
  <c r="AA61" i="2"/>
  <c r="AB61" i="2"/>
  <c r="AC61" i="2"/>
  <c r="AD61" i="2"/>
  <c r="AA62" i="2"/>
  <c r="AB62" i="2"/>
  <c r="AC62" i="2"/>
  <c r="AD62" i="2"/>
  <c r="AB3" i="2"/>
  <c r="AC3" i="2"/>
  <c r="AD3" i="2"/>
  <c r="AA3" i="2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K54" i="2"/>
  <c r="L54" i="2"/>
  <c r="M54" i="2"/>
  <c r="N54" i="2"/>
  <c r="K55" i="2"/>
  <c r="L55" i="2"/>
  <c r="M55" i="2"/>
  <c r="N55" i="2"/>
  <c r="K56" i="2"/>
  <c r="L56" i="2"/>
  <c r="M56" i="2"/>
  <c r="N56" i="2"/>
  <c r="K57" i="2"/>
  <c r="L57" i="2"/>
  <c r="M57" i="2"/>
  <c r="N57" i="2"/>
  <c r="K58" i="2"/>
  <c r="L58" i="2"/>
  <c r="M58" i="2"/>
  <c r="N58" i="2"/>
  <c r="K59" i="2"/>
  <c r="L59" i="2"/>
  <c r="M59" i="2"/>
  <c r="N59" i="2"/>
  <c r="K60" i="2"/>
  <c r="L60" i="2"/>
  <c r="M60" i="2"/>
  <c r="N60" i="2"/>
  <c r="K61" i="2"/>
  <c r="L61" i="2"/>
  <c r="M61" i="2"/>
  <c r="N61" i="2"/>
  <c r="K62" i="2"/>
  <c r="L62" i="2"/>
  <c r="M62" i="2"/>
  <c r="N62" i="2"/>
  <c r="V4" i="2"/>
  <c r="W4" i="2"/>
  <c r="X4" i="2"/>
  <c r="Y4" i="2"/>
  <c r="V5" i="2"/>
  <c r="W5" i="2"/>
  <c r="X5" i="2"/>
  <c r="Y5" i="2"/>
  <c r="V6" i="2"/>
  <c r="W6" i="2"/>
  <c r="X6" i="2"/>
  <c r="Y6" i="2"/>
  <c r="V7" i="2"/>
  <c r="W7" i="2"/>
  <c r="X7" i="2"/>
  <c r="Y7" i="2"/>
  <c r="V8" i="2"/>
  <c r="W8" i="2"/>
  <c r="X8" i="2"/>
  <c r="Y8" i="2"/>
  <c r="V9" i="2"/>
  <c r="W9" i="2"/>
  <c r="X9" i="2"/>
  <c r="Y9" i="2"/>
  <c r="V10" i="2"/>
  <c r="W10" i="2"/>
  <c r="X10" i="2"/>
  <c r="Y10" i="2"/>
  <c r="V11" i="2"/>
  <c r="W11" i="2"/>
  <c r="X11" i="2"/>
  <c r="Y11" i="2"/>
  <c r="V12" i="2"/>
  <c r="W12" i="2"/>
  <c r="X12" i="2"/>
  <c r="Y12" i="2"/>
  <c r="V13" i="2"/>
  <c r="W13" i="2"/>
  <c r="X13" i="2"/>
  <c r="Y13" i="2"/>
  <c r="V14" i="2"/>
  <c r="W14" i="2"/>
  <c r="X14" i="2"/>
  <c r="Y14" i="2"/>
  <c r="V15" i="2"/>
  <c r="W15" i="2"/>
  <c r="X15" i="2"/>
  <c r="Y15" i="2"/>
  <c r="V16" i="2"/>
  <c r="W16" i="2"/>
  <c r="X16" i="2"/>
  <c r="Y16" i="2"/>
  <c r="V17" i="2"/>
  <c r="W17" i="2"/>
  <c r="X17" i="2"/>
  <c r="Y17" i="2"/>
  <c r="V18" i="2"/>
  <c r="W18" i="2"/>
  <c r="X18" i="2"/>
  <c r="Y18" i="2"/>
  <c r="V19" i="2"/>
  <c r="W19" i="2"/>
  <c r="X19" i="2"/>
  <c r="Y19" i="2"/>
  <c r="V20" i="2"/>
  <c r="W20" i="2"/>
  <c r="X20" i="2"/>
  <c r="Y20" i="2"/>
  <c r="V21" i="2"/>
  <c r="W21" i="2"/>
  <c r="X21" i="2"/>
  <c r="Y21" i="2"/>
  <c r="V22" i="2"/>
  <c r="W22" i="2"/>
  <c r="X22" i="2"/>
  <c r="Y22" i="2"/>
  <c r="V23" i="2"/>
  <c r="W23" i="2"/>
  <c r="X23" i="2"/>
  <c r="Y23" i="2"/>
  <c r="V24" i="2"/>
  <c r="W24" i="2"/>
  <c r="X24" i="2"/>
  <c r="Y24" i="2"/>
  <c r="V25" i="2"/>
  <c r="W25" i="2"/>
  <c r="X25" i="2"/>
  <c r="Y25" i="2"/>
  <c r="V26" i="2"/>
  <c r="W26" i="2"/>
  <c r="X26" i="2"/>
  <c r="Y26" i="2"/>
  <c r="V27" i="2"/>
  <c r="W27" i="2"/>
  <c r="X27" i="2"/>
  <c r="Y27" i="2"/>
  <c r="V28" i="2"/>
  <c r="W28" i="2"/>
  <c r="X28" i="2"/>
  <c r="Y28" i="2"/>
  <c r="V29" i="2"/>
  <c r="W29" i="2"/>
  <c r="X29" i="2"/>
  <c r="Y29" i="2"/>
  <c r="V30" i="2"/>
  <c r="W30" i="2"/>
  <c r="X30" i="2"/>
  <c r="Y30" i="2"/>
  <c r="V31" i="2"/>
  <c r="W31" i="2"/>
  <c r="X31" i="2"/>
  <c r="Y31" i="2"/>
  <c r="V32" i="2"/>
  <c r="W32" i="2"/>
  <c r="X32" i="2"/>
  <c r="Y32" i="2"/>
  <c r="V33" i="2"/>
  <c r="W33" i="2"/>
  <c r="X33" i="2"/>
  <c r="Y33" i="2"/>
  <c r="V34" i="2"/>
  <c r="W34" i="2"/>
  <c r="X34" i="2"/>
  <c r="Y34" i="2"/>
  <c r="V35" i="2"/>
  <c r="W35" i="2"/>
  <c r="X35" i="2"/>
  <c r="Y35" i="2"/>
  <c r="V36" i="2"/>
  <c r="W36" i="2"/>
  <c r="X36" i="2"/>
  <c r="Y36" i="2"/>
  <c r="V37" i="2"/>
  <c r="W37" i="2"/>
  <c r="X37" i="2"/>
  <c r="Y37" i="2"/>
  <c r="V38" i="2"/>
  <c r="W38" i="2"/>
  <c r="X38" i="2"/>
  <c r="Y38" i="2"/>
  <c r="V39" i="2"/>
  <c r="W39" i="2"/>
  <c r="X39" i="2"/>
  <c r="Y39" i="2"/>
  <c r="V40" i="2"/>
  <c r="W40" i="2"/>
  <c r="X40" i="2"/>
  <c r="Y40" i="2"/>
  <c r="V41" i="2"/>
  <c r="W41" i="2"/>
  <c r="X41" i="2"/>
  <c r="Y41" i="2"/>
  <c r="V42" i="2"/>
  <c r="W42" i="2"/>
  <c r="X42" i="2"/>
  <c r="Y42" i="2"/>
  <c r="V43" i="2"/>
  <c r="W43" i="2"/>
  <c r="X43" i="2"/>
  <c r="Y43" i="2"/>
  <c r="V44" i="2"/>
  <c r="W44" i="2"/>
  <c r="X44" i="2"/>
  <c r="Y44" i="2"/>
  <c r="V45" i="2"/>
  <c r="W45" i="2"/>
  <c r="X45" i="2"/>
  <c r="Y45" i="2"/>
  <c r="V46" i="2"/>
  <c r="W46" i="2"/>
  <c r="X46" i="2"/>
  <c r="Y46" i="2"/>
  <c r="V47" i="2"/>
  <c r="W47" i="2"/>
  <c r="X47" i="2"/>
  <c r="Y47" i="2"/>
  <c r="V48" i="2"/>
  <c r="W48" i="2"/>
  <c r="X48" i="2"/>
  <c r="Y48" i="2"/>
  <c r="V49" i="2"/>
  <c r="W49" i="2"/>
  <c r="X49" i="2"/>
  <c r="Y49" i="2"/>
  <c r="V50" i="2"/>
  <c r="W50" i="2"/>
  <c r="X50" i="2"/>
  <c r="Y50" i="2"/>
  <c r="V51" i="2"/>
  <c r="W51" i="2"/>
  <c r="X51" i="2"/>
  <c r="Y51" i="2"/>
  <c r="V52" i="2"/>
  <c r="W52" i="2"/>
  <c r="X52" i="2"/>
  <c r="Y52" i="2"/>
  <c r="V53" i="2"/>
  <c r="W53" i="2"/>
  <c r="X53" i="2"/>
  <c r="Y53" i="2"/>
  <c r="V54" i="2"/>
  <c r="W54" i="2"/>
  <c r="X54" i="2"/>
  <c r="Y54" i="2"/>
  <c r="V55" i="2"/>
  <c r="W55" i="2"/>
  <c r="X55" i="2"/>
  <c r="Y55" i="2"/>
  <c r="V56" i="2"/>
  <c r="W56" i="2"/>
  <c r="X56" i="2"/>
  <c r="Y56" i="2"/>
  <c r="V57" i="2"/>
  <c r="W57" i="2"/>
  <c r="X57" i="2"/>
  <c r="Y57" i="2"/>
  <c r="V58" i="2"/>
  <c r="W58" i="2"/>
  <c r="X58" i="2"/>
  <c r="Y58" i="2"/>
  <c r="V59" i="2"/>
  <c r="W59" i="2"/>
  <c r="X59" i="2"/>
  <c r="Y59" i="2"/>
  <c r="V60" i="2"/>
  <c r="W60" i="2"/>
  <c r="X60" i="2"/>
  <c r="Y60" i="2"/>
  <c r="V61" i="2"/>
  <c r="W61" i="2"/>
  <c r="X61" i="2"/>
  <c r="Y61" i="2"/>
  <c r="V62" i="2"/>
  <c r="W62" i="2"/>
  <c r="X62" i="2"/>
  <c r="Y62" i="2"/>
  <c r="W3" i="2"/>
  <c r="X3" i="2"/>
  <c r="Y3" i="2"/>
  <c r="V3" i="2"/>
  <c r="Q3" i="2"/>
  <c r="A3" i="2"/>
  <c r="Q4" i="2"/>
  <c r="R4" i="2"/>
  <c r="S4" i="2"/>
  <c r="T4" i="2"/>
  <c r="Q5" i="2"/>
  <c r="R5" i="2"/>
  <c r="S5" i="2"/>
  <c r="T5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Q32" i="2"/>
  <c r="R32" i="2"/>
  <c r="S32" i="2"/>
  <c r="T32" i="2"/>
  <c r="Q33" i="2"/>
  <c r="R33" i="2"/>
  <c r="S33" i="2"/>
  <c r="T33" i="2"/>
  <c r="Q34" i="2"/>
  <c r="R34" i="2"/>
  <c r="S34" i="2"/>
  <c r="T34" i="2"/>
  <c r="Q35" i="2"/>
  <c r="R35" i="2"/>
  <c r="S35" i="2"/>
  <c r="T35" i="2"/>
  <c r="Q36" i="2"/>
  <c r="R36" i="2"/>
  <c r="S36" i="2"/>
  <c r="T36" i="2"/>
  <c r="Q37" i="2"/>
  <c r="R37" i="2"/>
  <c r="S37" i="2"/>
  <c r="T37" i="2"/>
  <c r="Q38" i="2"/>
  <c r="R38" i="2"/>
  <c r="S38" i="2"/>
  <c r="T38" i="2"/>
  <c r="Q39" i="2"/>
  <c r="R39" i="2"/>
  <c r="S39" i="2"/>
  <c r="T39" i="2"/>
  <c r="Q40" i="2"/>
  <c r="R40" i="2"/>
  <c r="S40" i="2"/>
  <c r="T40" i="2"/>
  <c r="Q41" i="2"/>
  <c r="R41" i="2"/>
  <c r="S41" i="2"/>
  <c r="T41" i="2"/>
  <c r="Q42" i="2"/>
  <c r="R42" i="2"/>
  <c r="S42" i="2"/>
  <c r="T42" i="2"/>
  <c r="Q43" i="2"/>
  <c r="R43" i="2"/>
  <c r="S43" i="2"/>
  <c r="T43" i="2"/>
  <c r="Q44" i="2"/>
  <c r="R44" i="2"/>
  <c r="S44" i="2"/>
  <c r="T44" i="2"/>
  <c r="Q45" i="2"/>
  <c r="R45" i="2"/>
  <c r="S45" i="2"/>
  <c r="T45" i="2"/>
  <c r="Q46" i="2"/>
  <c r="R46" i="2"/>
  <c r="S46" i="2"/>
  <c r="T46" i="2"/>
  <c r="Q47" i="2"/>
  <c r="R47" i="2"/>
  <c r="S47" i="2"/>
  <c r="T47" i="2"/>
  <c r="Q48" i="2"/>
  <c r="R48" i="2"/>
  <c r="S48" i="2"/>
  <c r="T48" i="2"/>
  <c r="Q49" i="2"/>
  <c r="R49" i="2"/>
  <c r="S49" i="2"/>
  <c r="T49" i="2"/>
  <c r="Q50" i="2"/>
  <c r="R50" i="2"/>
  <c r="S50" i="2"/>
  <c r="T50" i="2"/>
  <c r="Q51" i="2"/>
  <c r="R51" i="2"/>
  <c r="S51" i="2"/>
  <c r="T51" i="2"/>
  <c r="Q52" i="2"/>
  <c r="R52" i="2"/>
  <c r="S52" i="2"/>
  <c r="T52" i="2"/>
  <c r="Q53" i="2"/>
  <c r="R53" i="2"/>
  <c r="S53" i="2"/>
  <c r="T53" i="2"/>
  <c r="Q54" i="2"/>
  <c r="R54" i="2"/>
  <c r="S54" i="2"/>
  <c r="T54" i="2"/>
  <c r="Q55" i="2"/>
  <c r="R55" i="2"/>
  <c r="S55" i="2"/>
  <c r="T55" i="2"/>
  <c r="Q56" i="2"/>
  <c r="R56" i="2"/>
  <c r="S56" i="2"/>
  <c r="T56" i="2"/>
  <c r="Q57" i="2"/>
  <c r="R57" i="2"/>
  <c r="S57" i="2"/>
  <c r="T57" i="2"/>
  <c r="Q58" i="2"/>
  <c r="R58" i="2"/>
  <c r="S58" i="2"/>
  <c r="T58" i="2"/>
  <c r="Q59" i="2"/>
  <c r="R59" i="2"/>
  <c r="S59" i="2"/>
  <c r="T59" i="2"/>
  <c r="Q60" i="2"/>
  <c r="R60" i="2"/>
  <c r="S60" i="2"/>
  <c r="T60" i="2"/>
  <c r="Q61" i="2"/>
  <c r="R61" i="2"/>
  <c r="S61" i="2"/>
  <c r="T61" i="2"/>
  <c r="Q62" i="2"/>
  <c r="R62" i="2"/>
  <c r="S62" i="2"/>
  <c r="T62" i="2"/>
  <c r="R3" i="2"/>
  <c r="S3" i="2"/>
  <c r="T3" i="2"/>
  <c r="F3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B3" i="2"/>
  <c r="C3" i="2"/>
  <c r="D3" i="2"/>
  <c r="G68" i="1"/>
  <c r="L68" i="1"/>
  <c r="M68" i="1"/>
  <c r="N68" i="1"/>
  <c r="L73" i="1"/>
  <c r="M73" i="1"/>
  <c r="N73" i="1"/>
  <c r="G73" i="1"/>
  <c r="G72" i="1"/>
  <c r="L72" i="1"/>
  <c r="M72" i="1"/>
  <c r="N72" i="1"/>
  <c r="H76" i="1"/>
  <c r="I76" i="1"/>
  <c r="J76" i="1"/>
  <c r="K76" i="1"/>
  <c r="L76" i="1"/>
  <c r="M76" i="1"/>
  <c r="N76" i="1"/>
  <c r="G76" i="1"/>
  <c r="G75" i="1"/>
  <c r="G77" i="1" s="1"/>
  <c r="L75" i="1"/>
  <c r="L77" i="1" s="1"/>
  <c r="M75" i="1"/>
  <c r="M77" i="1" s="1"/>
  <c r="N75" i="1"/>
  <c r="N77" i="1" s="1"/>
  <c r="E65" i="1"/>
  <c r="BS5" i="1" s="1"/>
  <c r="BP3" i="1"/>
  <c r="BO4" i="1"/>
  <c r="BP4" i="1"/>
  <c r="BQ4" i="1"/>
  <c r="BR4" i="1"/>
  <c r="BO5" i="1"/>
  <c r="BP5" i="1"/>
  <c r="BQ5" i="1"/>
  <c r="BR5" i="1"/>
  <c r="BO6" i="1"/>
  <c r="BP6" i="1"/>
  <c r="BQ6" i="1"/>
  <c r="BR6" i="1"/>
  <c r="BO7" i="1"/>
  <c r="BP7" i="1"/>
  <c r="BQ7" i="1"/>
  <c r="BR7" i="1"/>
  <c r="BO8" i="1"/>
  <c r="BP8" i="1"/>
  <c r="BQ8" i="1"/>
  <c r="BR8" i="1"/>
  <c r="BO9" i="1"/>
  <c r="BP9" i="1"/>
  <c r="BQ9" i="1"/>
  <c r="BR9" i="1"/>
  <c r="BO10" i="1"/>
  <c r="BP10" i="1"/>
  <c r="BQ10" i="1"/>
  <c r="BR10" i="1"/>
  <c r="BO11" i="1"/>
  <c r="BP11" i="1"/>
  <c r="BQ11" i="1"/>
  <c r="BR11" i="1"/>
  <c r="BO12" i="1"/>
  <c r="BP12" i="1"/>
  <c r="BQ12" i="1"/>
  <c r="BR12" i="1"/>
  <c r="BO13" i="1"/>
  <c r="BP13" i="1"/>
  <c r="BQ13" i="1"/>
  <c r="BR13" i="1"/>
  <c r="BO14" i="1"/>
  <c r="BP14" i="1"/>
  <c r="BQ14" i="1"/>
  <c r="BR14" i="1"/>
  <c r="BO15" i="1"/>
  <c r="BP15" i="1"/>
  <c r="BQ15" i="1"/>
  <c r="BR15" i="1"/>
  <c r="BO16" i="1"/>
  <c r="BP16" i="1"/>
  <c r="BQ16" i="1"/>
  <c r="BR16" i="1"/>
  <c r="BO17" i="1"/>
  <c r="BP17" i="1"/>
  <c r="BQ17" i="1"/>
  <c r="BR17" i="1"/>
  <c r="BO18" i="1"/>
  <c r="BP18" i="1"/>
  <c r="BQ18" i="1"/>
  <c r="BR18" i="1"/>
  <c r="BO19" i="1"/>
  <c r="BP19" i="1"/>
  <c r="BQ19" i="1"/>
  <c r="BR19" i="1"/>
  <c r="BO20" i="1"/>
  <c r="BP20" i="1"/>
  <c r="BQ20" i="1"/>
  <c r="BR20" i="1"/>
  <c r="BO21" i="1"/>
  <c r="BP21" i="1"/>
  <c r="BQ21" i="1"/>
  <c r="BR21" i="1"/>
  <c r="BO22" i="1"/>
  <c r="BP22" i="1"/>
  <c r="BQ22" i="1"/>
  <c r="BR22" i="1"/>
  <c r="BO23" i="1"/>
  <c r="BP23" i="1"/>
  <c r="BQ23" i="1"/>
  <c r="BR23" i="1"/>
  <c r="BO24" i="1"/>
  <c r="BP24" i="1"/>
  <c r="BQ24" i="1"/>
  <c r="BR24" i="1"/>
  <c r="BO25" i="1"/>
  <c r="BP25" i="1"/>
  <c r="BQ25" i="1"/>
  <c r="BR25" i="1"/>
  <c r="BO26" i="1"/>
  <c r="BP26" i="1"/>
  <c r="BQ26" i="1"/>
  <c r="BR26" i="1"/>
  <c r="BO27" i="1"/>
  <c r="BP27" i="1"/>
  <c r="BQ27" i="1"/>
  <c r="BR27" i="1"/>
  <c r="BO28" i="1"/>
  <c r="BP28" i="1"/>
  <c r="BQ28" i="1"/>
  <c r="BR28" i="1"/>
  <c r="BO29" i="1"/>
  <c r="BP29" i="1"/>
  <c r="BQ29" i="1"/>
  <c r="BR29" i="1"/>
  <c r="BO30" i="1"/>
  <c r="BP30" i="1"/>
  <c r="BQ30" i="1"/>
  <c r="BR30" i="1"/>
  <c r="BO31" i="1"/>
  <c r="BP31" i="1"/>
  <c r="BQ31" i="1"/>
  <c r="BR31" i="1"/>
  <c r="BO32" i="1"/>
  <c r="BP32" i="1"/>
  <c r="BQ32" i="1"/>
  <c r="BR32" i="1"/>
  <c r="BO33" i="1"/>
  <c r="BP33" i="1"/>
  <c r="BQ33" i="1"/>
  <c r="BR33" i="1"/>
  <c r="BO34" i="1"/>
  <c r="BP34" i="1"/>
  <c r="BQ34" i="1"/>
  <c r="BR34" i="1"/>
  <c r="BO35" i="1"/>
  <c r="BP35" i="1"/>
  <c r="BQ35" i="1"/>
  <c r="BR35" i="1"/>
  <c r="BO36" i="1"/>
  <c r="BP36" i="1"/>
  <c r="BQ36" i="1"/>
  <c r="BR36" i="1"/>
  <c r="BO37" i="1"/>
  <c r="BP37" i="1"/>
  <c r="BQ37" i="1"/>
  <c r="BR37" i="1"/>
  <c r="BO38" i="1"/>
  <c r="BP38" i="1"/>
  <c r="BQ38" i="1"/>
  <c r="BR38" i="1"/>
  <c r="BO39" i="1"/>
  <c r="BP39" i="1"/>
  <c r="BQ39" i="1"/>
  <c r="BR39" i="1"/>
  <c r="BO40" i="1"/>
  <c r="BP40" i="1"/>
  <c r="BQ40" i="1"/>
  <c r="BR40" i="1"/>
  <c r="BO41" i="1"/>
  <c r="BP41" i="1"/>
  <c r="BQ41" i="1"/>
  <c r="BR41" i="1"/>
  <c r="BO42" i="1"/>
  <c r="BP42" i="1"/>
  <c r="BQ42" i="1"/>
  <c r="BR42" i="1"/>
  <c r="BO43" i="1"/>
  <c r="BP43" i="1"/>
  <c r="BQ43" i="1"/>
  <c r="BR43" i="1"/>
  <c r="BO44" i="1"/>
  <c r="BP44" i="1"/>
  <c r="BQ44" i="1"/>
  <c r="BR44" i="1"/>
  <c r="BO45" i="1"/>
  <c r="BP45" i="1"/>
  <c r="BQ45" i="1"/>
  <c r="BR45" i="1"/>
  <c r="BO46" i="1"/>
  <c r="BP46" i="1"/>
  <c r="BQ46" i="1"/>
  <c r="BR46" i="1"/>
  <c r="BO47" i="1"/>
  <c r="BP47" i="1"/>
  <c r="BQ47" i="1"/>
  <c r="BR47" i="1"/>
  <c r="BO48" i="1"/>
  <c r="BP48" i="1"/>
  <c r="BQ48" i="1"/>
  <c r="BR48" i="1"/>
  <c r="BO49" i="1"/>
  <c r="BP49" i="1"/>
  <c r="BQ49" i="1"/>
  <c r="BR49" i="1"/>
  <c r="BO50" i="1"/>
  <c r="BP50" i="1"/>
  <c r="BQ50" i="1"/>
  <c r="BR50" i="1"/>
  <c r="BO51" i="1"/>
  <c r="BP51" i="1"/>
  <c r="BQ51" i="1"/>
  <c r="BR51" i="1"/>
  <c r="BO52" i="1"/>
  <c r="BP52" i="1"/>
  <c r="BQ52" i="1"/>
  <c r="BR52" i="1"/>
  <c r="BO53" i="1"/>
  <c r="BP53" i="1"/>
  <c r="BQ53" i="1"/>
  <c r="BR53" i="1"/>
  <c r="BO54" i="1"/>
  <c r="BP54" i="1"/>
  <c r="BQ54" i="1"/>
  <c r="BR54" i="1"/>
  <c r="BO55" i="1"/>
  <c r="BP55" i="1"/>
  <c r="BQ55" i="1"/>
  <c r="BR55" i="1"/>
  <c r="BO56" i="1"/>
  <c r="BP56" i="1"/>
  <c r="BQ56" i="1"/>
  <c r="BR56" i="1"/>
  <c r="BO57" i="1"/>
  <c r="BP57" i="1"/>
  <c r="BQ57" i="1"/>
  <c r="BR57" i="1"/>
  <c r="BO58" i="1"/>
  <c r="BP58" i="1"/>
  <c r="BQ58" i="1"/>
  <c r="BR58" i="1"/>
  <c r="BO59" i="1"/>
  <c r="BP59" i="1"/>
  <c r="BQ59" i="1"/>
  <c r="BR59" i="1"/>
  <c r="BO60" i="1"/>
  <c r="BP60" i="1"/>
  <c r="BQ60" i="1"/>
  <c r="BR60" i="1"/>
  <c r="BO61" i="1"/>
  <c r="BP61" i="1"/>
  <c r="BQ61" i="1"/>
  <c r="BR61" i="1"/>
  <c r="BO62" i="1"/>
  <c r="BP62" i="1"/>
  <c r="BQ62" i="1"/>
  <c r="BR62" i="1"/>
  <c r="BQ3" i="1"/>
  <c r="BR3" i="1"/>
  <c r="E64" i="1"/>
  <c r="BF4" i="1"/>
  <c r="BG4" i="1"/>
  <c r="BH4" i="1"/>
  <c r="BI4" i="1"/>
  <c r="BF5" i="1"/>
  <c r="BG5" i="1"/>
  <c r="BH5" i="1"/>
  <c r="BI5" i="1"/>
  <c r="BF6" i="1"/>
  <c r="BG6" i="1"/>
  <c r="BH6" i="1"/>
  <c r="BI6" i="1"/>
  <c r="BF7" i="1"/>
  <c r="BG7" i="1"/>
  <c r="BH7" i="1"/>
  <c r="BI7" i="1"/>
  <c r="BF8" i="1"/>
  <c r="BG8" i="1"/>
  <c r="BH8" i="1"/>
  <c r="BI8" i="1"/>
  <c r="BF9" i="1"/>
  <c r="BG9" i="1"/>
  <c r="BH9" i="1"/>
  <c r="BI9" i="1"/>
  <c r="BF10" i="1"/>
  <c r="BG10" i="1"/>
  <c r="BH10" i="1"/>
  <c r="BI10" i="1"/>
  <c r="BF11" i="1"/>
  <c r="BG11" i="1"/>
  <c r="BH11" i="1"/>
  <c r="BI11" i="1"/>
  <c r="BF12" i="1"/>
  <c r="BG12" i="1"/>
  <c r="BH12" i="1"/>
  <c r="BI12" i="1"/>
  <c r="BF13" i="1"/>
  <c r="BG13" i="1"/>
  <c r="BH13" i="1"/>
  <c r="BI13" i="1"/>
  <c r="BF14" i="1"/>
  <c r="BG14" i="1"/>
  <c r="BH14" i="1"/>
  <c r="BI14" i="1"/>
  <c r="BF15" i="1"/>
  <c r="BG15" i="1"/>
  <c r="BH15" i="1"/>
  <c r="BI15" i="1"/>
  <c r="BF16" i="1"/>
  <c r="BG16" i="1"/>
  <c r="BH16" i="1"/>
  <c r="BI16" i="1"/>
  <c r="BF17" i="1"/>
  <c r="BG17" i="1"/>
  <c r="BH17" i="1"/>
  <c r="BI17" i="1"/>
  <c r="BF18" i="1"/>
  <c r="BG18" i="1"/>
  <c r="BH18" i="1"/>
  <c r="BI18" i="1"/>
  <c r="BF19" i="1"/>
  <c r="BG19" i="1"/>
  <c r="BH19" i="1"/>
  <c r="BI19" i="1"/>
  <c r="BF20" i="1"/>
  <c r="BG20" i="1"/>
  <c r="BH20" i="1"/>
  <c r="BI20" i="1"/>
  <c r="BF21" i="1"/>
  <c r="BG21" i="1"/>
  <c r="BH21" i="1"/>
  <c r="BI21" i="1"/>
  <c r="BF22" i="1"/>
  <c r="BG22" i="1"/>
  <c r="BH22" i="1"/>
  <c r="BI22" i="1"/>
  <c r="BF23" i="1"/>
  <c r="BG23" i="1"/>
  <c r="BH23" i="1"/>
  <c r="BI23" i="1"/>
  <c r="BF24" i="1"/>
  <c r="BG24" i="1"/>
  <c r="BH24" i="1"/>
  <c r="BI24" i="1"/>
  <c r="BF25" i="1"/>
  <c r="BG25" i="1"/>
  <c r="BH25" i="1"/>
  <c r="BI25" i="1"/>
  <c r="BF26" i="1"/>
  <c r="BG26" i="1"/>
  <c r="BH26" i="1"/>
  <c r="BI26" i="1"/>
  <c r="BF27" i="1"/>
  <c r="BG27" i="1"/>
  <c r="BH27" i="1"/>
  <c r="BI27" i="1"/>
  <c r="BF28" i="1"/>
  <c r="BG28" i="1"/>
  <c r="BH28" i="1"/>
  <c r="BI28" i="1"/>
  <c r="BF29" i="1"/>
  <c r="BG29" i="1"/>
  <c r="BH29" i="1"/>
  <c r="BI29" i="1"/>
  <c r="BF30" i="1"/>
  <c r="BG30" i="1"/>
  <c r="BH30" i="1"/>
  <c r="BI30" i="1"/>
  <c r="BF31" i="1"/>
  <c r="BG31" i="1"/>
  <c r="BH31" i="1"/>
  <c r="BI31" i="1"/>
  <c r="BF32" i="1"/>
  <c r="BG32" i="1"/>
  <c r="BH32" i="1"/>
  <c r="BI32" i="1"/>
  <c r="BF33" i="1"/>
  <c r="BG33" i="1"/>
  <c r="BH33" i="1"/>
  <c r="BI33" i="1"/>
  <c r="BF34" i="1"/>
  <c r="BG34" i="1"/>
  <c r="BH34" i="1"/>
  <c r="BI34" i="1"/>
  <c r="BF35" i="1"/>
  <c r="BG35" i="1"/>
  <c r="BH35" i="1"/>
  <c r="BI35" i="1"/>
  <c r="BF36" i="1"/>
  <c r="BG36" i="1"/>
  <c r="BH36" i="1"/>
  <c r="BI36" i="1"/>
  <c r="BF37" i="1"/>
  <c r="BG37" i="1"/>
  <c r="BH37" i="1"/>
  <c r="BI37" i="1"/>
  <c r="BF38" i="1"/>
  <c r="BG38" i="1"/>
  <c r="BH38" i="1"/>
  <c r="BI38" i="1"/>
  <c r="BF39" i="1"/>
  <c r="BG39" i="1"/>
  <c r="BH39" i="1"/>
  <c r="BI39" i="1"/>
  <c r="BF40" i="1"/>
  <c r="BG40" i="1"/>
  <c r="BH40" i="1"/>
  <c r="BI40" i="1"/>
  <c r="BF41" i="1"/>
  <c r="BG41" i="1"/>
  <c r="BH41" i="1"/>
  <c r="BI41" i="1"/>
  <c r="BF42" i="1"/>
  <c r="BG42" i="1"/>
  <c r="BH42" i="1"/>
  <c r="BI42" i="1"/>
  <c r="BF43" i="1"/>
  <c r="BG43" i="1"/>
  <c r="BH43" i="1"/>
  <c r="BI43" i="1"/>
  <c r="BF44" i="1"/>
  <c r="BG44" i="1"/>
  <c r="BH44" i="1"/>
  <c r="BI44" i="1"/>
  <c r="BF45" i="1"/>
  <c r="BG45" i="1"/>
  <c r="BH45" i="1"/>
  <c r="BI45" i="1"/>
  <c r="BF46" i="1"/>
  <c r="BG46" i="1"/>
  <c r="BH46" i="1"/>
  <c r="BI46" i="1"/>
  <c r="BF47" i="1"/>
  <c r="BG47" i="1"/>
  <c r="BH47" i="1"/>
  <c r="BI47" i="1"/>
  <c r="BF48" i="1"/>
  <c r="BG48" i="1"/>
  <c r="BH48" i="1"/>
  <c r="BI48" i="1"/>
  <c r="BF49" i="1"/>
  <c r="BG49" i="1"/>
  <c r="BH49" i="1"/>
  <c r="BI49" i="1"/>
  <c r="BF50" i="1"/>
  <c r="BG50" i="1"/>
  <c r="BH50" i="1"/>
  <c r="BI50" i="1"/>
  <c r="BF51" i="1"/>
  <c r="BG51" i="1"/>
  <c r="BH51" i="1"/>
  <c r="BI51" i="1"/>
  <c r="BF52" i="1"/>
  <c r="BG52" i="1"/>
  <c r="BH52" i="1"/>
  <c r="BI52" i="1"/>
  <c r="BF53" i="1"/>
  <c r="BG53" i="1"/>
  <c r="BH53" i="1"/>
  <c r="BI53" i="1"/>
  <c r="BF54" i="1"/>
  <c r="BG54" i="1"/>
  <c r="BH54" i="1"/>
  <c r="BI54" i="1"/>
  <c r="BF55" i="1"/>
  <c r="BG55" i="1"/>
  <c r="BH55" i="1"/>
  <c r="BI55" i="1"/>
  <c r="BF56" i="1"/>
  <c r="BG56" i="1"/>
  <c r="BH56" i="1"/>
  <c r="BI56" i="1"/>
  <c r="BF57" i="1"/>
  <c r="BG57" i="1"/>
  <c r="BH57" i="1"/>
  <c r="BI57" i="1"/>
  <c r="BF58" i="1"/>
  <c r="BG58" i="1"/>
  <c r="BH58" i="1"/>
  <c r="BI58" i="1"/>
  <c r="BF59" i="1"/>
  <c r="BG59" i="1"/>
  <c r="BH59" i="1"/>
  <c r="BI59" i="1"/>
  <c r="BF60" i="1"/>
  <c r="BG60" i="1"/>
  <c r="BH60" i="1"/>
  <c r="BI60" i="1"/>
  <c r="BF61" i="1"/>
  <c r="BG61" i="1"/>
  <c r="BH61" i="1"/>
  <c r="BI61" i="1"/>
  <c r="BF62" i="1"/>
  <c r="BG62" i="1"/>
  <c r="BH62" i="1"/>
  <c r="BI62" i="1"/>
  <c r="BG3" i="1"/>
  <c r="BH3" i="1"/>
  <c r="BI3" i="1"/>
  <c r="BF3" i="1"/>
  <c r="L71" i="1"/>
  <c r="M71" i="1"/>
  <c r="N71" i="1"/>
  <c r="G71" i="1"/>
  <c r="S60" i="1" l="1"/>
  <c r="S61" i="1"/>
  <c r="S6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H81" i="1"/>
  <c r="AK4" i="1"/>
  <c r="AK3" i="1"/>
  <c r="G81" i="1"/>
  <c r="M81" i="1"/>
  <c r="L81" i="1"/>
  <c r="N81" i="1"/>
  <c r="K86" i="1"/>
  <c r="O66" i="1"/>
  <c r="AK42" i="1"/>
  <c r="P66" i="1"/>
  <c r="W63" i="2"/>
  <c r="BN3" i="1" a="1"/>
  <c r="BM3" i="1" s="1"/>
  <c r="V63" i="2"/>
  <c r="Y63" i="2"/>
  <c r="Q66" i="1"/>
  <c r="X63" i="2"/>
  <c r="AK35" i="1"/>
  <c r="AK52" i="1"/>
  <c r="AK16" i="1"/>
  <c r="AK34" i="1"/>
  <c r="AK58" i="1"/>
  <c r="AK44" i="1"/>
  <c r="AK17" i="1"/>
  <c r="AK51" i="1"/>
  <c r="AK36" i="1"/>
  <c r="AK14" i="1"/>
  <c r="AK19" i="1"/>
  <c r="AK5" i="1"/>
  <c r="AK6" i="1"/>
  <c r="AK59" i="1"/>
  <c r="AK45" i="1"/>
  <c r="AK7" i="1"/>
  <c r="AK37" i="1"/>
  <c r="AK57" i="1"/>
  <c r="AK28" i="1"/>
  <c r="AK20" i="1"/>
  <c r="AK62" i="1"/>
  <c r="AK8" i="1"/>
  <c r="AK24" i="1"/>
  <c r="AK46" i="1"/>
  <c r="AK38" i="1"/>
  <c r="AK13" i="1"/>
  <c r="AK21" i="1"/>
  <c r="AK26" i="1"/>
  <c r="AK60" i="1"/>
  <c r="AK54" i="1"/>
  <c r="AK39" i="1"/>
  <c r="AK53" i="1"/>
  <c r="AK47" i="1"/>
  <c r="AK56" i="1"/>
  <c r="AK30" i="1"/>
  <c r="AK29" i="1"/>
  <c r="AK40" i="1"/>
  <c r="AK23" i="1"/>
  <c r="AK11" i="1"/>
  <c r="AK55" i="1"/>
  <c r="AK48" i="1"/>
  <c r="AK12" i="1"/>
  <c r="AK31" i="1"/>
  <c r="AK41" i="1"/>
  <c r="AK61" i="1"/>
  <c r="AK18" i="1"/>
  <c r="AK22" i="1"/>
  <c r="AK9" i="1"/>
  <c r="AK49" i="1"/>
  <c r="AK32" i="1"/>
  <c r="AK25" i="1"/>
  <c r="AK33" i="1"/>
  <c r="AK10" i="1"/>
  <c r="AK15" i="1"/>
  <c r="AK50" i="1"/>
  <c r="AK27" i="1"/>
  <c r="AK43" i="1"/>
  <c r="AL35" i="1"/>
  <c r="T9" i="1"/>
  <c r="AL9" i="1"/>
  <c r="T47" i="1"/>
  <c r="AL60" i="1"/>
  <c r="T48" i="1"/>
  <c r="AL32" i="1"/>
  <c r="AL36" i="1"/>
  <c r="T49" i="1"/>
  <c r="AL55" i="1"/>
  <c r="T50" i="1"/>
  <c r="AL13" i="1"/>
  <c r="AL8" i="1"/>
  <c r="AL31" i="1"/>
  <c r="AL37" i="1"/>
  <c r="T53" i="1"/>
  <c r="AL7" i="1"/>
  <c r="AL14" i="1"/>
  <c r="T57" i="1"/>
  <c r="AL57" i="1"/>
  <c r="T58" i="1"/>
  <c r="AL38" i="1"/>
  <c r="AL17" i="1"/>
  <c r="T60" i="1"/>
  <c r="T61" i="1"/>
  <c r="AL30" i="1"/>
  <c r="T62" i="1"/>
  <c r="AL39" i="1"/>
  <c r="AL19" i="1"/>
  <c r="AL6" i="1"/>
  <c r="T4" i="1"/>
  <c r="T10" i="1"/>
  <c r="T11" i="1"/>
  <c r="AL40" i="1"/>
  <c r="AL5" i="1"/>
  <c r="T15" i="1"/>
  <c r="T16" i="1"/>
  <c r="T18" i="1"/>
  <c r="T19" i="1"/>
  <c r="AL16" i="1"/>
  <c r="AL41" i="1"/>
  <c r="AL58" i="1"/>
  <c r="T25" i="1"/>
  <c r="AL4" i="1"/>
  <c r="T26" i="1"/>
  <c r="AL28" i="1"/>
  <c r="T27" i="1"/>
  <c r="AL42" i="1"/>
  <c r="AL59" i="1"/>
  <c r="AL15" i="1"/>
  <c r="AL24" i="1"/>
  <c r="T3" i="1"/>
  <c r="T28" i="1"/>
  <c r="AL43" i="1"/>
  <c r="T31" i="1"/>
  <c r="AL33" i="1"/>
  <c r="AL34" i="1"/>
  <c r="AL26" i="1"/>
  <c r="AL3" i="1"/>
  <c r="AL44" i="1"/>
  <c r="T37" i="1"/>
  <c r="T41" i="1"/>
  <c r="T42" i="1"/>
  <c r="AL62" i="1"/>
  <c r="AL25" i="1"/>
  <c r="AL27" i="1"/>
  <c r="AL45" i="1"/>
  <c r="T43" i="1"/>
  <c r="T44" i="1"/>
  <c r="T46" i="1"/>
  <c r="T51" i="1"/>
  <c r="AL46" i="1"/>
  <c r="AL61" i="1"/>
  <c r="AL29" i="1"/>
  <c r="T52" i="1"/>
  <c r="T54" i="1"/>
  <c r="AL23" i="1"/>
  <c r="AL47" i="1"/>
  <c r="T55" i="1"/>
  <c r="T56" i="1"/>
  <c r="T59" i="1"/>
  <c r="AL54" i="1"/>
  <c r="AL12" i="1"/>
  <c r="AL22" i="1"/>
  <c r="AL48" i="1"/>
  <c r="T5" i="1"/>
  <c r="T6" i="1"/>
  <c r="T7" i="1"/>
  <c r="AL56" i="1"/>
  <c r="T8" i="1"/>
  <c r="AL49" i="1"/>
  <c r="T12" i="1"/>
  <c r="T17" i="1"/>
  <c r="T20" i="1"/>
  <c r="T22" i="1"/>
  <c r="T32" i="1"/>
  <c r="AL21" i="1"/>
  <c r="AL50" i="1"/>
  <c r="AL11" i="1"/>
  <c r="T36" i="1"/>
  <c r="T33" i="1"/>
  <c r="T13" i="1"/>
  <c r="T14" i="1"/>
  <c r="AL20" i="1"/>
  <c r="AL51" i="1"/>
  <c r="T38" i="1"/>
  <c r="T21" i="1"/>
  <c r="T23" i="1"/>
  <c r="T39" i="1"/>
  <c r="T24" i="1"/>
  <c r="T29" i="1"/>
  <c r="AL52" i="1"/>
  <c r="T30" i="1"/>
  <c r="T40" i="1"/>
  <c r="T34" i="1"/>
  <c r="T35" i="1"/>
  <c r="AL10" i="1"/>
  <c r="AL18" i="1"/>
  <c r="AL53" i="1"/>
  <c r="T45" i="1"/>
  <c r="AM35" i="1"/>
  <c r="AM62" i="1"/>
  <c r="U26" i="1"/>
  <c r="AM25" i="1"/>
  <c r="AM36" i="1"/>
  <c r="U50" i="1"/>
  <c r="U24" i="1"/>
  <c r="U32" i="1"/>
  <c r="AM14" i="1"/>
  <c r="AM37" i="1"/>
  <c r="AM26" i="1"/>
  <c r="U49" i="1"/>
  <c r="U20" i="1"/>
  <c r="U19" i="1"/>
  <c r="U9" i="1"/>
  <c r="AM38" i="1"/>
  <c r="U47" i="1"/>
  <c r="U17" i="1"/>
  <c r="U16" i="1"/>
  <c r="AM39" i="1"/>
  <c r="U42" i="1"/>
  <c r="U15" i="1"/>
  <c r="U12" i="1"/>
  <c r="AM29" i="1"/>
  <c r="AM40" i="1"/>
  <c r="AM61" i="1"/>
  <c r="U35" i="1"/>
  <c r="AM60" i="1"/>
  <c r="U34" i="1"/>
  <c r="AM28" i="1"/>
  <c r="AM41" i="1"/>
  <c r="AM8" i="1"/>
  <c r="U62" i="1"/>
  <c r="U53" i="1"/>
  <c r="U29" i="1"/>
  <c r="AM42" i="1"/>
  <c r="AM30" i="1"/>
  <c r="U28" i="1"/>
  <c r="AM27" i="1"/>
  <c r="AM43" i="1"/>
  <c r="U44" i="1"/>
  <c r="U27" i="1"/>
  <c r="AM31" i="1"/>
  <c r="AM44" i="1"/>
  <c r="AM59" i="1"/>
  <c r="U3" i="1"/>
  <c r="AM32" i="1"/>
  <c r="AM45" i="1"/>
  <c r="U39" i="1"/>
  <c r="U25" i="1"/>
  <c r="AM24" i="1"/>
  <c r="AM46" i="1"/>
  <c r="AM33" i="1"/>
  <c r="U22" i="1"/>
  <c r="U21" i="1"/>
  <c r="AM47" i="1"/>
  <c r="AM34" i="1"/>
  <c r="U18" i="1"/>
  <c r="U23" i="1"/>
  <c r="AM48" i="1"/>
  <c r="AM11" i="1"/>
  <c r="U14" i="1"/>
  <c r="AM54" i="1"/>
  <c r="U13" i="1"/>
  <c r="AM49" i="1"/>
  <c r="AM3" i="1"/>
  <c r="AM6" i="1"/>
  <c r="AM5" i="1"/>
  <c r="U38" i="1"/>
  <c r="AM50" i="1"/>
  <c r="AM9" i="1"/>
  <c r="U11" i="1"/>
  <c r="U10" i="1"/>
  <c r="AM56" i="1"/>
  <c r="AM51" i="1"/>
  <c r="U37" i="1"/>
  <c r="U45" i="1"/>
  <c r="U8" i="1"/>
  <c r="AM58" i="1"/>
  <c r="AM57" i="1"/>
  <c r="AM52" i="1"/>
  <c r="AM7" i="1"/>
  <c r="U7" i="1"/>
  <c r="U6" i="1"/>
  <c r="AM18" i="1"/>
  <c r="AM53" i="1"/>
  <c r="U43" i="1"/>
  <c r="U5" i="1"/>
  <c r="AM4" i="1"/>
  <c r="AM12" i="1"/>
  <c r="U61" i="1"/>
  <c r="U60" i="1"/>
  <c r="AM13" i="1"/>
  <c r="U59" i="1"/>
  <c r="AM17" i="1"/>
  <c r="U58" i="1"/>
  <c r="AM15" i="1"/>
  <c r="U57" i="1"/>
  <c r="AM16" i="1"/>
  <c r="U56" i="1"/>
  <c r="AM10" i="1"/>
  <c r="AM19" i="1"/>
  <c r="U40" i="1"/>
  <c r="U55" i="1"/>
  <c r="AM55" i="1"/>
  <c r="AM20" i="1"/>
  <c r="U48" i="1"/>
  <c r="U36" i="1"/>
  <c r="AM21" i="1"/>
  <c r="U52" i="1"/>
  <c r="AM22" i="1"/>
  <c r="U51" i="1"/>
  <c r="U54" i="1"/>
  <c r="AM23" i="1"/>
  <c r="U41" i="1"/>
  <c r="U46" i="1"/>
  <c r="U4" i="1"/>
  <c r="U30" i="1"/>
  <c r="U31" i="1"/>
  <c r="U33" i="1"/>
  <c r="AN37" i="1"/>
  <c r="AN30" i="1"/>
  <c r="AN38" i="1"/>
  <c r="AN39" i="1"/>
  <c r="AN40" i="1"/>
  <c r="V34" i="1"/>
  <c r="AN41" i="1"/>
  <c r="V35" i="1"/>
  <c r="AN42" i="1"/>
  <c r="AN43" i="1"/>
  <c r="AN25" i="1"/>
  <c r="AN44" i="1"/>
  <c r="AN24" i="1"/>
  <c r="AN45" i="1"/>
  <c r="AN46" i="1"/>
  <c r="AN47" i="1"/>
  <c r="AN22" i="1"/>
  <c r="AN48" i="1"/>
  <c r="AN49" i="1"/>
  <c r="AN54" i="1"/>
  <c r="AN21" i="1"/>
  <c r="AN50" i="1"/>
  <c r="AN20" i="1"/>
  <c r="AN51" i="1"/>
  <c r="AN18" i="1"/>
  <c r="AN52" i="1"/>
  <c r="AN53" i="1"/>
  <c r="AN61" i="1"/>
  <c r="AN16" i="1"/>
  <c r="AN19" i="1"/>
  <c r="AN55" i="1"/>
  <c r="AN15" i="1"/>
  <c r="AN23" i="1"/>
  <c r="AN14" i="1"/>
  <c r="AN26" i="1"/>
  <c r="AN27" i="1"/>
  <c r="AN13" i="1"/>
  <c r="AN28" i="1"/>
  <c r="AN29" i="1"/>
  <c r="AN11" i="1"/>
  <c r="AN34" i="1"/>
  <c r="AN3" i="1"/>
  <c r="V36" i="1"/>
  <c r="V38" i="1"/>
  <c r="AN10" i="1"/>
  <c r="V39" i="1"/>
  <c r="AN56" i="1"/>
  <c r="AN59" i="1"/>
  <c r="AN17" i="1"/>
  <c r="AN5" i="1"/>
  <c r="V10" i="1"/>
  <c r="AN60" i="1"/>
  <c r="V50" i="1"/>
  <c r="V14" i="1"/>
  <c r="V51" i="1"/>
  <c r="V17" i="1"/>
  <c r="V18" i="1"/>
  <c r="V52" i="1"/>
  <c r="V19" i="1"/>
  <c r="V20" i="1"/>
  <c r="AN12" i="1"/>
  <c r="AN4" i="1"/>
  <c r="V25" i="1"/>
  <c r="AN58" i="1"/>
  <c r="V47" i="1"/>
  <c r="V27" i="1"/>
  <c r="AN7" i="1"/>
  <c r="V28" i="1"/>
  <c r="AN62" i="1"/>
  <c r="V29" i="1"/>
  <c r="V31" i="1"/>
  <c r="AN33" i="1"/>
  <c r="V55" i="1"/>
  <c r="V44" i="1"/>
  <c r="V40" i="1"/>
  <c r="V41" i="1"/>
  <c r="V42" i="1"/>
  <c r="V43" i="1"/>
  <c r="V57" i="1"/>
  <c r="V45" i="1"/>
  <c r="V46" i="1"/>
  <c r="V48" i="1"/>
  <c r="V49" i="1"/>
  <c r="AN9" i="1"/>
  <c r="V53" i="1"/>
  <c r="V54" i="1"/>
  <c r="V58" i="1"/>
  <c r="V56" i="1"/>
  <c r="V59" i="1"/>
  <c r="AN6" i="1"/>
  <c r="V5" i="1"/>
  <c r="V6" i="1"/>
  <c r="V60" i="1"/>
  <c r="V7" i="1"/>
  <c r="V8" i="1"/>
  <c r="V9" i="1"/>
  <c r="V11" i="1"/>
  <c r="V12" i="1"/>
  <c r="V15" i="1"/>
  <c r="V16" i="1"/>
  <c r="AN8" i="1"/>
  <c r="V61" i="1"/>
  <c r="AN57" i="1"/>
  <c r="V22" i="1"/>
  <c r="V23" i="1"/>
  <c r="V37" i="1"/>
  <c r="V26" i="1"/>
  <c r="V30" i="1"/>
  <c r="V33" i="1"/>
  <c r="V3" i="1"/>
  <c r="V62" i="1"/>
  <c r="V13" i="1"/>
  <c r="V21" i="1"/>
  <c r="AN35" i="1"/>
  <c r="AN32" i="1"/>
  <c r="AN36" i="1"/>
  <c r="V32" i="1"/>
  <c r="AN31" i="1"/>
  <c r="V4" i="1"/>
  <c r="V24" i="1"/>
  <c r="X57" i="1"/>
  <c r="X24" i="1"/>
  <c r="X47" i="1"/>
  <c r="AD47" i="1" s="1"/>
  <c r="X44" i="1"/>
  <c r="X49" i="1"/>
  <c r="X50" i="1"/>
  <c r="X51" i="1"/>
  <c r="X52" i="1"/>
  <c r="X22" i="1"/>
  <c r="X30" i="1"/>
  <c r="X15" i="1"/>
  <c r="X55" i="1"/>
  <c r="X45" i="1"/>
  <c r="X58" i="1"/>
  <c r="X59" i="1"/>
  <c r="X25" i="1"/>
  <c r="X60" i="1"/>
  <c r="X61" i="1"/>
  <c r="X31" i="1"/>
  <c r="X5" i="1"/>
  <c r="X48" i="1"/>
  <c r="X54" i="1"/>
  <c r="X6" i="1"/>
  <c r="X7" i="1"/>
  <c r="X12" i="1"/>
  <c r="X8" i="1"/>
  <c r="X10" i="1"/>
  <c r="X11" i="1"/>
  <c r="X13" i="1"/>
  <c r="X9" i="1"/>
  <c r="X41" i="1"/>
  <c r="AD41" i="1" s="1"/>
  <c r="X19" i="1"/>
  <c r="X40" i="1"/>
  <c r="X20" i="1"/>
  <c r="X36" i="1"/>
  <c r="X16" i="1"/>
  <c r="X21" i="1"/>
  <c r="X37" i="1"/>
  <c r="X3" i="1"/>
  <c r="X29" i="1"/>
  <c r="X46" i="1"/>
  <c r="X38" i="1"/>
  <c r="X35" i="1"/>
  <c r="X33" i="1"/>
  <c r="X39" i="1"/>
  <c r="X26" i="1"/>
  <c r="X62" i="1"/>
  <c r="X14" i="1"/>
  <c r="X17" i="1"/>
  <c r="X18" i="1"/>
  <c r="X32" i="1"/>
  <c r="X56" i="1"/>
  <c r="X23" i="1"/>
  <c r="X43" i="1"/>
  <c r="X27" i="1"/>
  <c r="X28" i="1"/>
  <c r="X42" i="1"/>
  <c r="AD42" i="1" s="1"/>
  <c r="X53" i="1"/>
  <c r="X34" i="1"/>
  <c r="X4" i="1"/>
  <c r="Y56" i="1"/>
  <c r="AR58" i="1"/>
  <c r="AR59" i="1"/>
  <c r="AR60" i="1"/>
  <c r="Y58" i="1"/>
  <c r="AR61" i="1"/>
  <c r="AR62" i="1"/>
  <c r="AR4" i="1"/>
  <c r="Y59" i="1"/>
  <c r="AR5" i="1"/>
  <c r="AR6" i="1"/>
  <c r="AR7" i="1"/>
  <c r="AR8" i="1"/>
  <c r="AR9" i="1"/>
  <c r="AR10" i="1"/>
  <c r="AR13" i="1"/>
  <c r="AR14" i="1"/>
  <c r="Y5" i="1"/>
  <c r="AR15" i="1"/>
  <c r="AR16" i="1"/>
  <c r="AR17" i="1"/>
  <c r="AR18" i="1"/>
  <c r="Y6" i="1"/>
  <c r="AR22" i="1"/>
  <c r="AR24" i="1"/>
  <c r="AR25" i="1"/>
  <c r="AR26" i="1"/>
  <c r="Y7" i="1"/>
  <c r="AR30" i="1"/>
  <c r="AR31" i="1"/>
  <c r="AR35" i="1"/>
  <c r="AR32" i="1"/>
  <c r="Y8" i="1"/>
  <c r="AR36" i="1"/>
  <c r="AR37" i="1"/>
  <c r="AR38" i="1"/>
  <c r="AR39" i="1"/>
  <c r="AR40" i="1"/>
  <c r="AR41" i="1"/>
  <c r="Y11" i="1"/>
  <c r="AR34" i="1"/>
  <c r="AR42" i="1"/>
  <c r="Y12" i="1"/>
  <c r="AR3" i="1"/>
  <c r="AR43" i="1"/>
  <c r="Y13" i="1"/>
  <c r="AR44" i="1"/>
  <c r="Y14" i="1"/>
  <c r="AR45" i="1"/>
  <c r="Y15" i="1"/>
  <c r="AR46" i="1"/>
  <c r="Y16" i="1"/>
  <c r="AR47" i="1"/>
  <c r="AR48" i="1"/>
  <c r="AR49" i="1"/>
  <c r="AR50" i="1"/>
  <c r="AR51" i="1"/>
  <c r="Y37" i="1"/>
  <c r="AR52" i="1"/>
  <c r="AR53" i="1"/>
  <c r="Y38" i="1"/>
  <c r="Y22" i="1"/>
  <c r="AR11" i="1"/>
  <c r="AR12" i="1"/>
  <c r="AR19" i="1"/>
  <c r="Y40" i="1"/>
  <c r="AR20" i="1"/>
  <c r="AR21" i="1"/>
  <c r="Y41" i="1"/>
  <c r="AR23" i="1"/>
  <c r="Y29" i="1"/>
  <c r="AR27" i="1"/>
  <c r="Y42" i="1"/>
  <c r="AR28" i="1"/>
  <c r="AR29" i="1"/>
  <c r="Y43" i="1"/>
  <c r="Y34" i="1"/>
  <c r="AR33" i="1"/>
  <c r="Y36" i="1"/>
  <c r="Y35" i="1"/>
  <c r="Y39" i="1"/>
  <c r="Y9" i="1"/>
  <c r="Y45" i="1"/>
  <c r="Y44" i="1"/>
  <c r="Y47" i="1"/>
  <c r="Y46" i="1"/>
  <c r="Y49" i="1"/>
  <c r="Y52" i="1"/>
  <c r="Y55" i="1"/>
  <c r="Y48" i="1"/>
  <c r="Y57" i="1"/>
  <c r="Y17" i="1"/>
  <c r="Y60" i="1"/>
  <c r="Y61" i="1"/>
  <c r="Y62" i="1"/>
  <c r="Y20" i="1"/>
  <c r="Y50" i="1"/>
  <c r="Y4" i="1"/>
  <c r="Y21" i="1"/>
  <c r="Y10" i="1"/>
  <c r="Y18" i="1"/>
  <c r="Y51" i="1"/>
  <c r="Y19" i="1"/>
  <c r="Y23" i="1"/>
  <c r="Y26" i="1"/>
  <c r="Y24" i="1"/>
  <c r="Y25" i="1"/>
  <c r="Y53" i="1"/>
  <c r="Y27" i="1"/>
  <c r="Y28" i="1"/>
  <c r="Y30" i="1"/>
  <c r="Y54" i="1"/>
  <c r="Y31" i="1"/>
  <c r="Y32" i="1"/>
  <c r="Y33" i="1"/>
  <c r="AR54" i="1"/>
  <c r="AR55" i="1"/>
  <c r="AR56" i="1"/>
  <c r="AR57" i="1"/>
  <c r="Y3" i="1"/>
  <c r="Z42" i="1"/>
  <c r="Z23" i="1"/>
  <c r="AS61" i="1"/>
  <c r="Z13" i="1"/>
  <c r="Z54" i="1"/>
  <c r="AS46" i="1"/>
  <c r="Z53" i="1"/>
  <c r="AS23" i="1"/>
  <c r="Z14" i="1"/>
  <c r="AS45" i="1"/>
  <c r="AS7" i="1"/>
  <c r="Z17" i="1"/>
  <c r="Z51" i="1"/>
  <c r="AS44" i="1"/>
  <c r="Z50" i="1"/>
  <c r="Z19" i="1"/>
  <c r="Z44" i="1"/>
  <c r="Z20" i="1"/>
  <c r="AS43" i="1"/>
  <c r="Z21" i="1"/>
  <c r="AS59" i="1"/>
  <c r="AS8" i="1"/>
  <c r="AS53" i="1"/>
  <c r="AS42" i="1"/>
  <c r="Z46" i="1"/>
  <c r="Z45" i="1"/>
  <c r="Z47" i="1"/>
  <c r="AS41" i="1"/>
  <c r="Z43" i="1"/>
  <c r="Z48" i="1"/>
  <c r="AS56" i="1"/>
  <c r="AS60" i="1"/>
  <c r="Z49" i="1"/>
  <c r="AS9" i="1"/>
  <c r="Z26" i="1"/>
  <c r="Z41" i="1"/>
  <c r="AS40" i="1"/>
  <c r="Z40" i="1"/>
  <c r="Z27" i="1"/>
  <c r="Z38" i="1"/>
  <c r="Z37" i="1"/>
  <c r="AS28" i="1"/>
  <c r="AS39" i="1"/>
  <c r="AS10" i="1"/>
  <c r="AS29" i="1"/>
  <c r="Z52" i="1"/>
  <c r="AS3" i="1"/>
  <c r="Z31" i="1"/>
  <c r="AS38" i="1"/>
  <c r="AS33" i="1"/>
  <c r="AS32" i="1"/>
  <c r="AS11" i="1"/>
  <c r="AS37" i="1"/>
  <c r="Z30" i="1"/>
  <c r="AS31" i="1"/>
  <c r="AS30" i="1"/>
  <c r="Z55" i="1"/>
  <c r="Z34" i="1"/>
  <c r="AS36" i="1"/>
  <c r="AS27" i="1"/>
  <c r="Z3" i="1"/>
  <c r="AS13" i="1"/>
  <c r="Z56" i="1"/>
  <c r="AS26" i="1"/>
  <c r="Z57" i="1"/>
  <c r="AS25" i="1"/>
  <c r="AS24" i="1"/>
  <c r="AS35" i="1"/>
  <c r="AS62" i="1"/>
  <c r="AS14" i="1"/>
  <c r="Z15" i="1"/>
  <c r="Z16" i="1"/>
  <c r="AS22" i="1"/>
  <c r="Z18" i="1"/>
  <c r="AS55" i="1"/>
  <c r="AS34" i="1"/>
  <c r="Z60" i="1"/>
  <c r="AS58" i="1"/>
  <c r="AS4" i="1"/>
  <c r="Z61" i="1"/>
  <c r="Z22" i="1"/>
  <c r="Z12" i="1"/>
  <c r="AS16" i="1"/>
  <c r="Z11" i="1"/>
  <c r="AS18" i="1"/>
  <c r="AS15" i="1"/>
  <c r="Z5" i="1"/>
  <c r="Z24" i="1"/>
  <c r="Z25" i="1"/>
  <c r="Z36" i="1"/>
  <c r="AS47" i="1"/>
  <c r="AS54" i="1"/>
  <c r="AS17" i="1"/>
  <c r="Z6" i="1"/>
  <c r="Z4" i="1"/>
  <c r="Z28" i="1"/>
  <c r="AS12" i="1"/>
  <c r="Z29" i="1"/>
  <c r="AS52" i="1"/>
  <c r="AS5" i="1"/>
  <c r="Z7" i="1"/>
  <c r="Z62" i="1"/>
  <c r="AS51" i="1"/>
  <c r="Z32" i="1"/>
  <c r="AS19" i="1"/>
  <c r="Z59" i="1"/>
  <c r="Z33" i="1"/>
  <c r="Z8" i="1"/>
  <c r="Z58" i="1"/>
  <c r="AS50" i="1"/>
  <c r="AS20" i="1"/>
  <c r="Z9" i="1"/>
  <c r="AS57" i="1"/>
  <c r="Z10" i="1"/>
  <c r="Z35" i="1"/>
  <c r="AS49" i="1"/>
  <c r="Z39" i="1"/>
  <c r="AS21" i="1"/>
  <c r="AS48" i="1"/>
  <c r="AS6" i="1"/>
  <c r="AA40" i="1"/>
  <c r="AA57" i="1"/>
  <c r="AA56" i="1"/>
  <c r="AA41" i="1"/>
  <c r="AA52" i="1"/>
  <c r="AT56" i="1"/>
  <c r="AA42" i="1"/>
  <c r="AT7" i="1"/>
  <c r="AA43" i="1"/>
  <c r="AA49" i="1"/>
  <c r="AA48" i="1"/>
  <c r="AA47" i="1"/>
  <c r="AA45" i="1"/>
  <c r="AT8" i="1"/>
  <c r="AA46" i="1"/>
  <c r="AA44" i="1"/>
  <c r="AT9" i="1"/>
  <c r="AA50" i="1"/>
  <c r="AA39" i="1"/>
  <c r="AA51" i="1"/>
  <c r="AT60" i="1"/>
  <c r="AT10" i="1"/>
  <c r="AT34" i="1"/>
  <c r="AA53" i="1"/>
  <c r="AA54" i="1"/>
  <c r="AT11" i="1"/>
  <c r="AA55" i="1"/>
  <c r="AT28" i="1"/>
  <c r="AT6" i="1"/>
  <c r="AT55" i="1"/>
  <c r="AA58" i="1"/>
  <c r="AT14" i="1"/>
  <c r="AT23" i="1"/>
  <c r="AA59" i="1"/>
  <c r="AT15" i="1"/>
  <c r="AT21" i="1"/>
  <c r="AT18" i="1"/>
  <c r="AA61" i="1"/>
  <c r="AT54" i="1"/>
  <c r="AT16" i="1"/>
  <c r="AA5" i="1"/>
  <c r="AT13" i="1"/>
  <c r="AA4" i="1"/>
  <c r="AA6" i="1"/>
  <c r="AT17" i="1"/>
  <c r="AT52" i="1"/>
  <c r="AT51" i="1"/>
  <c r="AA7" i="1"/>
  <c r="AT59" i="1"/>
  <c r="AT19" i="1"/>
  <c r="AT50" i="1"/>
  <c r="AA8" i="1"/>
  <c r="AT20" i="1"/>
  <c r="AT49" i="1"/>
  <c r="AT48" i="1"/>
  <c r="AT47" i="1"/>
  <c r="AT36" i="1"/>
  <c r="AT42" i="1"/>
  <c r="AA35" i="1"/>
  <c r="AA28" i="1"/>
  <c r="AA16" i="1"/>
  <c r="AT31" i="1"/>
  <c r="AA11" i="1"/>
  <c r="AT35" i="1"/>
  <c r="AT41" i="1"/>
  <c r="AA27" i="1"/>
  <c r="AA13" i="1"/>
  <c r="AT58" i="1"/>
  <c r="AT32" i="1"/>
  <c r="AA14" i="1"/>
  <c r="AT12" i="1"/>
  <c r="AT27" i="1"/>
  <c r="AT62" i="1"/>
  <c r="AA24" i="1"/>
  <c r="AA26" i="1"/>
  <c r="AT33" i="1"/>
  <c r="AA25" i="1"/>
  <c r="AA17" i="1"/>
  <c r="AA22" i="1"/>
  <c r="AT24" i="1"/>
  <c r="AA21" i="1"/>
  <c r="AA19" i="1"/>
  <c r="AA18" i="1"/>
  <c r="AT40" i="1"/>
  <c r="AA20" i="1"/>
  <c r="AT46" i="1"/>
  <c r="AA12" i="1"/>
  <c r="AT3" i="1"/>
  <c r="AT43" i="1"/>
  <c r="AA3" i="1"/>
  <c r="AT45" i="1"/>
  <c r="AA23" i="1"/>
  <c r="AT39" i="1"/>
  <c r="AA10" i="1"/>
  <c r="AT53" i="1"/>
  <c r="AT38" i="1"/>
  <c r="AA9" i="1"/>
  <c r="AA29" i="1"/>
  <c r="AA36" i="1"/>
  <c r="AT25" i="1"/>
  <c r="AA30" i="1"/>
  <c r="AT57" i="1"/>
  <c r="AT22" i="1"/>
  <c r="AA31" i="1"/>
  <c r="AT5" i="1"/>
  <c r="AA62" i="1"/>
  <c r="AA37" i="1"/>
  <c r="AT29" i="1"/>
  <c r="AA32" i="1"/>
  <c r="AA60" i="1"/>
  <c r="AA15" i="1"/>
  <c r="AT37" i="1"/>
  <c r="AA38" i="1"/>
  <c r="AA33" i="1"/>
  <c r="AA34" i="1"/>
  <c r="AT44" i="1"/>
  <c r="AT61" i="1"/>
  <c r="AT26" i="1"/>
  <c r="AT30" i="1"/>
  <c r="AT4" i="1"/>
  <c r="H82" i="1"/>
  <c r="I82" i="1"/>
  <c r="J82" i="1"/>
  <c r="K82" i="1"/>
  <c r="L82" i="1"/>
  <c r="M82" i="1"/>
  <c r="N82" i="1"/>
  <c r="G82" i="1"/>
  <c r="AD63" i="2"/>
  <c r="H73" i="1"/>
  <c r="H72" i="1"/>
  <c r="H75" i="1"/>
  <c r="H77" i="1" s="1"/>
  <c r="H71" i="1"/>
  <c r="I68" i="1"/>
  <c r="I81" i="1" s="1"/>
  <c r="I73" i="1"/>
  <c r="I72" i="1"/>
  <c r="I75" i="1"/>
  <c r="I77" i="1" s="1"/>
  <c r="I71" i="1"/>
  <c r="J68" i="1"/>
  <c r="J81" i="1" s="1"/>
  <c r="J73" i="1"/>
  <c r="J72" i="1"/>
  <c r="J75" i="1"/>
  <c r="J77" i="1" s="1"/>
  <c r="J71" i="1"/>
  <c r="K68" i="1"/>
  <c r="K81" i="1" s="1"/>
  <c r="K73" i="1"/>
  <c r="K72" i="1"/>
  <c r="K75" i="1"/>
  <c r="K77" i="1" s="1"/>
  <c r="K71" i="1"/>
  <c r="AB63" i="2"/>
  <c r="AC63" i="2"/>
  <c r="AA63" i="2"/>
  <c r="K63" i="2"/>
  <c r="H63" i="2"/>
  <c r="C63" i="2"/>
  <c r="R63" i="2"/>
  <c r="S63" i="2"/>
  <c r="T63" i="2"/>
  <c r="Q63" i="2"/>
  <c r="L63" i="2"/>
  <c r="M63" i="2"/>
  <c r="N63" i="2"/>
  <c r="G63" i="2"/>
  <c r="D63" i="2"/>
  <c r="I63" i="2"/>
  <c r="B63" i="2"/>
  <c r="A63" i="2"/>
  <c r="F63" i="2"/>
  <c r="BN4" i="1" a="1"/>
  <c r="BM4" i="1" s="1"/>
  <c r="BN5" i="1" a="1"/>
  <c r="BM5" i="1" s="1"/>
  <c r="BN6" i="1" a="1"/>
  <c r="BM6" i="1" s="1"/>
  <c r="BN7" i="1" a="1"/>
  <c r="BM7" i="1" s="1"/>
  <c r="BN8" i="1" a="1"/>
  <c r="BM8" i="1" s="1"/>
  <c r="BN9" i="1" a="1"/>
  <c r="BM9" i="1" s="1"/>
  <c r="BN10" i="1" a="1"/>
  <c r="BM10" i="1" s="1"/>
  <c r="BN11" i="1" a="1"/>
  <c r="BM11" i="1" s="1"/>
  <c r="BN12" i="1" a="1"/>
  <c r="BM12" i="1" s="1"/>
  <c r="BN13" i="1" a="1"/>
  <c r="BM13" i="1" s="1"/>
  <c r="BN14" i="1" a="1"/>
  <c r="BM14" i="1" s="1"/>
  <c r="BN15" i="1" a="1"/>
  <c r="BM15" i="1" s="1"/>
  <c r="BN16" i="1" a="1"/>
  <c r="BM16" i="1" s="1"/>
  <c r="BN17" i="1" a="1"/>
  <c r="BM17" i="1" s="1"/>
  <c r="BN18" i="1" a="1"/>
  <c r="BM18" i="1" s="1"/>
  <c r="BN19" i="1" a="1"/>
  <c r="BM19" i="1" s="1"/>
  <c r="BN20" i="1" a="1"/>
  <c r="BM20" i="1" s="1"/>
  <c r="BN21" i="1" a="1"/>
  <c r="BM21" i="1" s="1"/>
  <c r="BN22" i="1" a="1"/>
  <c r="BM22" i="1" s="1"/>
  <c r="BN23" i="1" a="1"/>
  <c r="BM23" i="1" s="1"/>
  <c r="BN24" i="1" a="1"/>
  <c r="BM24" i="1" s="1"/>
  <c r="BN25" i="1" a="1"/>
  <c r="BM25" i="1" s="1"/>
  <c r="BN26" i="1" a="1"/>
  <c r="BM26" i="1" s="1"/>
  <c r="BN27" i="1" a="1"/>
  <c r="BM27" i="1" s="1"/>
  <c r="BN28" i="1" a="1"/>
  <c r="BM28" i="1" s="1"/>
  <c r="BN29" i="1" a="1"/>
  <c r="BM29" i="1" s="1"/>
  <c r="BN30" i="1" a="1"/>
  <c r="BM30" i="1" s="1"/>
  <c r="BN31" i="1" a="1"/>
  <c r="BM31" i="1" s="1"/>
  <c r="BN32" i="1" a="1"/>
  <c r="BM32" i="1" s="1"/>
  <c r="BN33" i="1" a="1"/>
  <c r="BM33" i="1" s="1"/>
  <c r="BN34" i="1" a="1"/>
  <c r="BM34" i="1" s="1"/>
  <c r="BN35" i="1" a="1"/>
  <c r="BM35" i="1" s="1"/>
  <c r="BN36" i="1" a="1"/>
  <c r="BM36" i="1" s="1"/>
  <c r="BN37" i="1" a="1"/>
  <c r="BM37" i="1" s="1"/>
  <c r="BN38" i="1" a="1"/>
  <c r="BM38" i="1" s="1"/>
  <c r="BN39" i="1" a="1"/>
  <c r="BM39" i="1" s="1"/>
  <c r="BN40" i="1" a="1"/>
  <c r="BM40" i="1" s="1"/>
  <c r="BN41" i="1" a="1"/>
  <c r="BM41" i="1" s="1"/>
  <c r="BN42" i="1" a="1"/>
  <c r="BM42" i="1" s="1"/>
  <c r="BN43" i="1" a="1"/>
  <c r="BM43" i="1" s="1"/>
  <c r="BN44" i="1" a="1"/>
  <c r="BM44" i="1" s="1"/>
  <c r="BN45" i="1" a="1"/>
  <c r="BM45" i="1" s="1"/>
  <c r="BN46" i="1" a="1"/>
  <c r="BM46" i="1" s="1"/>
  <c r="BN47" i="1" a="1"/>
  <c r="BM47" i="1" s="1"/>
  <c r="BN48" i="1" a="1"/>
  <c r="BM48" i="1" s="1"/>
  <c r="BN49" i="1" a="1"/>
  <c r="BM49" i="1" s="1"/>
  <c r="BN50" i="1" a="1"/>
  <c r="BM50" i="1" s="1"/>
  <c r="BN51" i="1" a="1"/>
  <c r="BM51" i="1" s="1"/>
  <c r="BN52" i="1" a="1"/>
  <c r="BM52" i="1" s="1"/>
  <c r="BN53" i="1" a="1"/>
  <c r="BM53" i="1" s="1"/>
  <c r="BN54" i="1" a="1"/>
  <c r="BM54" i="1" s="1"/>
  <c r="BN55" i="1" a="1"/>
  <c r="BM55" i="1" s="1"/>
  <c r="BN56" i="1" a="1"/>
  <c r="BM56" i="1" s="1"/>
  <c r="BN57" i="1" a="1"/>
  <c r="BM57" i="1" s="1"/>
  <c r="BN58" i="1" a="1"/>
  <c r="BM58" i="1" s="1"/>
  <c r="BN59" i="1" a="1"/>
  <c r="BM59" i="1" s="1"/>
  <c r="BN60" i="1" a="1"/>
  <c r="BM60" i="1" s="1"/>
  <c r="BN61" i="1" a="1"/>
  <c r="BM61" i="1" s="1"/>
  <c r="BN62" i="1" a="1"/>
  <c r="BM62" i="1" s="1"/>
  <c r="BT4" i="1"/>
  <c r="BU4" i="1"/>
  <c r="BV4" i="1"/>
  <c r="BT5" i="1"/>
  <c r="BU5" i="1"/>
  <c r="BV5" i="1"/>
  <c r="BS6" i="1"/>
  <c r="BT6" i="1"/>
  <c r="BU6" i="1"/>
  <c r="BV6" i="1"/>
  <c r="BS7" i="1"/>
  <c r="BT7" i="1"/>
  <c r="BU7" i="1"/>
  <c r="BV7" i="1"/>
  <c r="BS8" i="1"/>
  <c r="BT8" i="1"/>
  <c r="BU8" i="1"/>
  <c r="BV8" i="1"/>
  <c r="BS9" i="1"/>
  <c r="BT9" i="1"/>
  <c r="BU9" i="1"/>
  <c r="BV9" i="1"/>
  <c r="BS10" i="1"/>
  <c r="BT10" i="1"/>
  <c r="BU10" i="1"/>
  <c r="BV10" i="1"/>
  <c r="BS11" i="1"/>
  <c r="BT11" i="1"/>
  <c r="BU11" i="1"/>
  <c r="BV11" i="1"/>
  <c r="BS12" i="1"/>
  <c r="BT12" i="1"/>
  <c r="BU12" i="1"/>
  <c r="BV12" i="1"/>
  <c r="BS13" i="1"/>
  <c r="BT13" i="1"/>
  <c r="BU13" i="1"/>
  <c r="BV13" i="1"/>
  <c r="BS14" i="1"/>
  <c r="BT14" i="1"/>
  <c r="BU14" i="1"/>
  <c r="BV14" i="1"/>
  <c r="BS15" i="1"/>
  <c r="BT15" i="1"/>
  <c r="BU15" i="1"/>
  <c r="BV15" i="1"/>
  <c r="BS16" i="1"/>
  <c r="BT16" i="1"/>
  <c r="BU16" i="1"/>
  <c r="BV16" i="1"/>
  <c r="BS17" i="1"/>
  <c r="BT17" i="1"/>
  <c r="BU17" i="1"/>
  <c r="BV17" i="1"/>
  <c r="BS18" i="1"/>
  <c r="BT18" i="1"/>
  <c r="BU18" i="1"/>
  <c r="BV18" i="1"/>
  <c r="BS19" i="1"/>
  <c r="BT19" i="1"/>
  <c r="BU19" i="1"/>
  <c r="BV19" i="1"/>
  <c r="BS20" i="1"/>
  <c r="BT20" i="1"/>
  <c r="BV32" i="1"/>
  <c r="BS33" i="1"/>
  <c r="BT33" i="1"/>
  <c r="BU33" i="1"/>
  <c r="BV33" i="1"/>
  <c r="BS34" i="1"/>
  <c r="BT34" i="1"/>
  <c r="BU34" i="1"/>
  <c r="BV34" i="1"/>
  <c r="BS35" i="1"/>
  <c r="BT35" i="1"/>
  <c r="BU35" i="1"/>
  <c r="BV35" i="1"/>
  <c r="BS36" i="1"/>
  <c r="BT36" i="1"/>
  <c r="BU36" i="1"/>
  <c r="BV36" i="1"/>
  <c r="BS37" i="1"/>
  <c r="BT37" i="1"/>
  <c r="BU37" i="1"/>
  <c r="BV37" i="1"/>
  <c r="BS38" i="1"/>
  <c r="BT38" i="1"/>
  <c r="BU38" i="1"/>
  <c r="BV38" i="1"/>
  <c r="BS39" i="1"/>
  <c r="BT39" i="1"/>
  <c r="BU39" i="1"/>
  <c r="BV39" i="1"/>
  <c r="BS40" i="1"/>
  <c r="BT40" i="1"/>
  <c r="BU40" i="1"/>
  <c r="BV40" i="1"/>
  <c r="BS41" i="1"/>
  <c r="BT41" i="1"/>
  <c r="BU41" i="1"/>
  <c r="BV41" i="1"/>
  <c r="BS42" i="1"/>
  <c r="BT42" i="1"/>
  <c r="BU42" i="1"/>
  <c r="BV42" i="1"/>
  <c r="BS43" i="1"/>
  <c r="BT43" i="1"/>
  <c r="BU43" i="1"/>
  <c r="BV43" i="1"/>
  <c r="BS44" i="1"/>
  <c r="BT44" i="1"/>
  <c r="BU44" i="1"/>
  <c r="BV44" i="1"/>
  <c r="BS45" i="1"/>
  <c r="BT45" i="1"/>
  <c r="BU45" i="1"/>
  <c r="BV45" i="1"/>
  <c r="BS46" i="1"/>
  <c r="BT46" i="1"/>
  <c r="BU46" i="1"/>
  <c r="BV46" i="1"/>
  <c r="BS47" i="1"/>
  <c r="BT47" i="1"/>
  <c r="BU47" i="1"/>
  <c r="BV47" i="1"/>
  <c r="BS48" i="1"/>
  <c r="BT48" i="1"/>
  <c r="BU48" i="1"/>
  <c r="BV48" i="1"/>
  <c r="BS49" i="1"/>
  <c r="BT49" i="1"/>
  <c r="BU49" i="1"/>
  <c r="BV49" i="1"/>
  <c r="BS50" i="1"/>
  <c r="BT50" i="1"/>
  <c r="BU50" i="1"/>
  <c r="BV50" i="1"/>
  <c r="BS51" i="1"/>
  <c r="BT51" i="1"/>
  <c r="BU51" i="1"/>
  <c r="BV51" i="1"/>
  <c r="BS52" i="1"/>
  <c r="BT52" i="1"/>
  <c r="BU52" i="1"/>
  <c r="BV52" i="1"/>
  <c r="BS53" i="1"/>
  <c r="BT53" i="1"/>
  <c r="BU53" i="1"/>
  <c r="BV53" i="1"/>
  <c r="BS54" i="1"/>
  <c r="BT54" i="1"/>
  <c r="BU54" i="1"/>
  <c r="BT32" i="1"/>
  <c r="BS55" i="1"/>
  <c r="BT55" i="1"/>
  <c r="BU55" i="1"/>
  <c r="BV55" i="1"/>
  <c r="BS56" i="1"/>
  <c r="BT56" i="1"/>
  <c r="BU56" i="1"/>
  <c r="BV56" i="1"/>
  <c r="BS57" i="1"/>
  <c r="BT57" i="1"/>
  <c r="BU57" i="1"/>
  <c r="BV57" i="1"/>
  <c r="BS58" i="1"/>
  <c r="BT58" i="1"/>
  <c r="BU58" i="1"/>
  <c r="BV58" i="1"/>
  <c r="BS59" i="1"/>
  <c r="BT59" i="1"/>
  <c r="BU59" i="1"/>
  <c r="BV59" i="1"/>
  <c r="BS60" i="1"/>
  <c r="BT60" i="1"/>
  <c r="BU60" i="1"/>
  <c r="BV60" i="1"/>
  <c r="BS61" i="1"/>
  <c r="BT61" i="1"/>
  <c r="BU61" i="1"/>
  <c r="BV61" i="1"/>
  <c r="BS62" i="1"/>
  <c r="BT62" i="1"/>
  <c r="BU62" i="1"/>
  <c r="BV62" i="1"/>
  <c r="BT3" i="1"/>
  <c r="BU3" i="1"/>
  <c r="BV3" i="1"/>
  <c r="BS32" i="1"/>
  <c r="BV31" i="1"/>
  <c r="BU31" i="1"/>
  <c r="BT31" i="1"/>
  <c r="BS31" i="1"/>
  <c r="BV30" i="1"/>
  <c r="BU30" i="1"/>
  <c r="BU32" i="1"/>
  <c r="BT30" i="1"/>
  <c r="BS30" i="1"/>
  <c r="BL30" i="1" s="1" a="1"/>
  <c r="BK30" i="1" s="1"/>
  <c r="BV29" i="1"/>
  <c r="BU29" i="1"/>
  <c r="BS4" i="1"/>
  <c r="BT29" i="1"/>
  <c r="BS29" i="1"/>
  <c r="BL29" i="1" s="1" a="1"/>
  <c r="BK29" i="1" s="1"/>
  <c r="BV28" i="1"/>
  <c r="BU28" i="1"/>
  <c r="BS3" i="1"/>
  <c r="BT28" i="1"/>
  <c r="BS28" i="1"/>
  <c r="BV27" i="1"/>
  <c r="BU27" i="1"/>
  <c r="BT27" i="1"/>
  <c r="BS27" i="1"/>
  <c r="BV26" i="1"/>
  <c r="BU26" i="1"/>
  <c r="BT26" i="1"/>
  <c r="BS26" i="1"/>
  <c r="BL26" i="1" s="1" a="1"/>
  <c r="BK26" i="1" s="1"/>
  <c r="BV25" i="1"/>
  <c r="BU25" i="1"/>
  <c r="BT25" i="1"/>
  <c r="BS25" i="1"/>
  <c r="BL25" i="1" s="1" a="1"/>
  <c r="BK25" i="1" s="1"/>
  <c r="BV24" i="1"/>
  <c r="BU24" i="1"/>
  <c r="BT24" i="1"/>
  <c r="BS24" i="1"/>
  <c r="BL24" i="1" s="1" a="1"/>
  <c r="BK24" i="1" s="1"/>
  <c r="BV23" i="1"/>
  <c r="BU23" i="1"/>
  <c r="BT23" i="1"/>
  <c r="BS23" i="1"/>
  <c r="BL23" i="1" s="1" a="1"/>
  <c r="BK23" i="1" s="1"/>
  <c r="BV22" i="1"/>
  <c r="BU22" i="1"/>
  <c r="BT22" i="1"/>
  <c r="BS22" i="1"/>
  <c r="BV21" i="1"/>
  <c r="BU21" i="1"/>
  <c r="BT21" i="1"/>
  <c r="BS21" i="1"/>
  <c r="BL21" i="1" s="1" a="1"/>
  <c r="BK21" i="1" s="1"/>
  <c r="BV20" i="1"/>
  <c r="BU20" i="1"/>
  <c r="BV54" i="1"/>
  <c r="AD20" i="1" l="1"/>
  <c r="AD23" i="1"/>
  <c r="AQ62" i="1"/>
  <c r="AQ26" i="1"/>
  <c r="AQ59" i="1"/>
  <c r="AQ25" i="1"/>
  <c r="AQ24" i="1"/>
  <c r="AQ22" i="1"/>
  <c r="AQ7" i="1"/>
  <c r="AQ55" i="1"/>
  <c r="AQ20" i="1"/>
  <c r="AQ19" i="1"/>
  <c r="AQ6" i="1"/>
  <c r="AQ16" i="1"/>
  <c r="AQ15" i="1"/>
  <c r="AQ14" i="1"/>
  <c r="AQ13" i="1"/>
  <c r="AQ17" i="1"/>
  <c r="AQ44" i="1"/>
  <c r="AQ42" i="1"/>
  <c r="AQ27" i="1"/>
  <c r="AQ3" i="1"/>
  <c r="AQ39" i="1"/>
  <c r="AQ38" i="1"/>
  <c r="AQ57" i="1"/>
  <c r="AQ37" i="1"/>
  <c r="AQ31" i="1"/>
  <c r="AQ60" i="1"/>
  <c r="AQ58" i="1"/>
  <c r="AQ12" i="1"/>
  <c r="AQ53" i="1"/>
  <c r="AQ32" i="1"/>
  <c r="AQ61" i="1"/>
  <c r="AQ9" i="1"/>
  <c r="AQ52" i="1"/>
  <c r="AQ33" i="1"/>
  <c r="AQ43" i="1"/>
  <c r="AQ18" i="1"/>
  <c r="AQ51" i="1"/>
  <c r="AQ54" i="1"/>
  <c r="AQ50" i="1"/>
  <c r="AQ34" i="1"/>
  <c r="AQ49" i="1"/>
  <c r="AQ4" i="1"/>
  <c r="AQ21" i="1"/>
  <c r="AQ48" i="1"/>
  <c r="AQ5" i="1"/>
  <c r="AQ47" i="1"/>
  <c r="AQ23" i="1"/>
  <c r="AQ46" i="1"/>
  <c r="AQ10" i="1"/>
  <c r="AQ45" i="1"/>
  <c r="AQ41" i="1"/>
  <c r="AQ28" i="1"/>
  <c r="AQ40" i="1"/>
  <c r="AQ11" i="1"/>
  <c r="AQ29" i="1"/>
  <c r="AQ30" i="1"/>
  <c r="AQ36" i="1"/>
  <c r="AQ35" i="1"/>
  <c r="AQ56" i="1"/>
  <c r="AQ8" i="1"/>
  <c r="AJ52" i="1" a="1"/>
  <c r="AI52" i="1" s="1"/>
  <c r="AJ16" i="1" a="1"/>
  <c r="AI16" i="1" s="1"/>
  <c r="AJ34" i="1" a="1"/>
  <c r="AI34" i="1" s="1"/>
  <c r="AJ58" i="1" a="1"/>
  <c r="AI58" i="1" s="1"/>
  <c r="AJ44" i="1" a="1"/>
  <c r="AI44" i="1" s="1"/>
  <c r="AJ17" i="1" a="1"/>
  <c r="AI17" i="1" s="1"/>
  <c r="AJ51" i="1" a="1"/>
  <c r="AI51" i="1" s="1"/>
  <c r="AJ36" i="1" a="1"/>
  <c r="AI36" i="1" s="1"/>
  <c r="AJ14" i="1" a="1"/>
  <c r="AI14" i="1" s="1"/>
  <c r="AJ19" i="1" a="1"/>
  <c r="AI19" i="1" s="1"/>
  <c r="AJ5" i="1" a="1"/>
  <c r="AI5" i="1" s="1"/>
  <c r="AJ6" i="1" a="1"/>
  <c r="AI6" i="1" s="1"/>
  <c r="AJ59" i="1" a="1"/>
  <c r="AI59" i="1" s="1"/>
  <c r="AJ45" i="1" a="1"/>
  <c r="AI45" i="1" s="1"/>
  <c r="AJ7" i="1" a="1"/>
  <c r="AI7" i="1" s="1"/>
  <c r="AJ37" i="1" a="1"/>
  <c r="AI37" i="1" s="1"/>
  <c r="AJ57" i="1" a="1"/>
  <c r="AI57" i="1" s="1"/>
  <c r="AJ28" i="1" a="1"/>
  <c r="AI28" i="1" s="1"/>
  <c r="AJ20" i="1" a="1"/>
  <c r="AI20" i="1" s="1"/>
  <c r="AJ62" i="1" a="1"/>
  <c r="AI62" i="1" s="1"/>
  <c r="AJ8" i="1" a="1"/>
  <c r="AI8" i="1" s="1"/>
  <c r="AJ35" i="1" a="1"/>
  <c r="AI35" i="1" s="1"/>
  <c r="AJ24" i="1" a="1"/>
  <c r="AI24" i="1" s="1"/>
  <c r="AJ46" i="1" a="1"/>
  <c r="AI46" i="1" s="1"/>
  <c r="AJ38" i="1" a="1"/>
  <c r="AI38" i="1" s="1"/>
  <c r="AJ3" i="1" a="1"/>
  <c r="AI3" i="1" s="1"/>
  <c r="AJ13" i="1" a="1"/>
  <c r="AI13" i="1" s="1"/>
  <c r="AJ21" i="1" a="1"/>
  <c r="AI21" i="1" s="1"/>
  <c r="AJ26" i="1" a="1"/>
  <c r="AI26" i="1" s="1"/>
  <c r="AJ60" i="1" a="1"/>
  <c r="AI60" i="1" s="1"/>
  <c r="AJ54" i="1" a="1"/>
  <c r="AI54" i="1" s="1"/>
  <c r="AJ4" i="1" a="1"/>
  <c r="AI4" i="1" s="1"/>
  <c r="AJ39" i="1" a="1"/>
  <c r="AI39" i="1" s="1"/>
  <c r="AJ53" i="1" a="1"/>
  <c r="AI53" i="1" s="1"/>
  <c r="AJ47" i="1" a="1"/>
  <c r="AI47" i="1" s="1"/>
  <c r="AJ56" i="1" a="1"/>
  <c r="AI56" i="1" s="1"/>
  <c r="AJ30" i="1" a="1"/>
  <c r="AI30" i="1" s="1"/>
  <c r="AJ29" i="1" a="1"/>
  <c r="AI29" i="1" s="1"/>
  <c r="AJ40" i="1" a="1"/>
  <c r="AI40" i="1" s="1"/>
  <c r="AJ23" i="1" a="1"/>
  <c r="AI23" i="1" s="1"/>
  <c r="AJ11" i="1" a="1"/>
  <c r="AI11" i="1" s="1"/>
  <c r="AJ55" i="1" a="1"/>
  <c r="AI55" i="1" s="1"/>
  <c r="AJ48" i="1" a="1"/>
  <c r="AI48" i="1" s="1"/>
  <c r="AJ12" i="1" a="1"/>
  <c r="AI12" i="1" s="1"/>
  <c r="AJ31" i="1" a="1"/>
  <c r="AI31" i="1" s="1"/>
  <c r="AJ41" i="1" a="1"/>
  <c r="AI41" i="1" s="1"/>
  <c r="AJ61" i="1" a="1"/>
  <c r="AI61" i="1" s="1"/>
  <c r="AJ18" i="1" a="1"/>
  <c r="AI18" i="1" s="1"/>
  <c r="AJ22" i="1" a="1"/>
  <c r="AI22" i="1" s="1"/>
  <c r="AJ9" i="1" a="1"/>
  <c r="AI9" i="1" s="1"/>
  <c r="AJ49" i="1" a="1"/>
  <c r="AI49" i="1" s="1"/>
  <c r="AJ32" i="1" a="1"/>
  <c r="AI32" i="1" s="1"/>
  <c r="AJ42" i="1" a="1"/>
  <c r="AI42" i="1" s="1"/>
  <c r="AJ25" i="1" a="1"/>
  <c r="AI25" i="1" s="1"/>
  <c r="AJ33" i="1" a="1"/>
  <c r="AI33" i="1" s="1"/>
  <c r="AJ10" i="1" a="1"/>
  <c r="AI10" i="1" s="1"/>
  <c r="AJ15" i="1" a="1"/>
  <c r="AI15" i="1" s="1"/>
  <c r="AJ50" i="1" a="1"/>
  <c r="AI50" i="1" s="1"/>
  <c r="AJ27" i="1" a="1"/>
  <c r="AI27" i="1" s="1"/>
  <c r="AJ43" i="1" a="1"/>
  <c r="AI43" i="1" s="1"/>
  <c r="BA30" i="1"/>
  <c r="BA6" i="1"/>
  <c r="BA40" i="1"/>
  <c r="BA5" i="1"/>
  <c r="BA16" i="1"/>
  <c r="BA41" i="1"/>
  <c r="BA4" i="1"/>
  <c r="BA42" i="1"/>
  <c r="BA15" i="1"/>
  <c r="BA24" i="1"/>
  <c r="BA43" i="1"/>
  <c r="BA33" i="1"/>
  <c r="BA34" i="1"/>
  <c r="BA26" i="1"/>
  <c r="BA35" i="1"/>
  <c r="BA9" i="1"/>
  <c r="BA32" i="1"/>
  <c r="BA36" i="1"/>
  <c r="BA13" i="1"/>
  <c r="BA8" i="1"/>
  <c r="BA31" i="1"/>
  <c r="BA37" i="1"/>
  <c r="BA7" i="1"/>
  <c r="BA14" i="1"/>
  <c r="BA57" i="1"/>
  <c r="BA17" i="1"/>
  <c r="BA60" i="1"/>
  <c r="BA55" i="1"/>
  <c r="BA38" i="1"/>
  <c r="BA39" i="1"/>
  <c r="BA19" i="1"/>
  <c r="BA58" i="1"/>
  <c r="BA28" i="1"/>
  <c r="BA59" i="1"/>
  <c r="R59" i="1" a="1"/>
  <c r="Q59" i="1" s="1"/>
  <c r="BA3" i="1"/>
  <c r="BA44" i="1"/>
  <c r="BA62" i="1"/>
  <c r="BA25" i="1"/>
  <c r="BA27" i="1"/>
  <c r="BA45" i="1"/>
  <c r="BA46" i="1"/>
  <c r="BA61" i="1"/>
  <c r="BA29" i="1"/>
  <c r="BA23" i="1"/>
  <c r="BA47" i="1"/>
  <c r="BA54" i="1"/>
  <c r="BA12" i="1"/>
  <c r="BA22" i="1"/>
  <c r="BA48" i="1"/>
  <c r="BA56" i="1"/>
  <c r="BA49" i="1"/>
  <c r="BA21" i="1"/>
  <c r="BA50" i="1"/>
  <c r="BA11" i="1"/>
  <c r="BA20" i="1"/>
  <c r="BA51" i="1"/>
  <c r="BA52" i="1"/>
  <c r="BA10" i="1"/>
  <c r="BA18" i="1"/>
  <c r="BA53" i="1"/>
  <c r="BB35" i="1"/>
  <c r="BB62" i="1"/>
  <c r="BB25" i="1"/>
  <c r="BB36" i="1"/>
  <c r="BB7" i="1"/>
  <c r="BB10" i="1"/>
  <c r="BB55" i="1"/>
  <c r="BB14" i="1"/>
  <c r="BB37" i="1"/>
  <c r="BB26" i="1"/>
  <c r="BB38" i="1"/>
  <c r="BB39" i="1"/>
  <c r="BB29" i="1"/>
  <c r="BB40" i="1"/>
  <c r="BB61" i="1"/>
  <c r="BB60" i="1"/>
  <c r="BB28" i="1"/>
  <c r="BB41" i="1"/>
  <c r="BB8" i="1"/>
  <c r="BB42" i="1"/>
  <c r="BB30" i="1"/>
  <c r="BB27" i="1"/>
  <c r="BB43" i="1"/>
  <c r="BB31" i="1"/>
  <c r="BB44" i="1"/>
  <c r="BB59" i="1"/>
  <c r="BB32" i="1"/>
  <c r="BB45" i="1"/>
  <c r="BB24" i="1"/>
  <c r="BB46" i="1"/>
  <c r="BB33" i="1"/>
  <c r="BB47" i="1"/>
  <c r="BB34" i="1"/>
  <c r="BB48" i="1"/>
  <c r="BB11" i="1"/>
  <c r="BB54" i="1"/>
  <c r="BB49" i="1"/>
  <c r="BB3" i="1"/>
  <c r="BB6" i="1"/>
  <c r="BB5" i="1"/>
  <c r="BB50" i="1"/>
  <c r="BB9" i="1"/>
  <c r="BB56" i="1"/>
  <c r="BB51" i="1"/>
  <c r="BB58" i="1"/>
  <c r="BB57" i="1"/>
  <c r="BB52" i="1"/>
  <c r="BB18" i="1"/>
  <c r="BB53" i="1"/>
  <c r="BB4" i="1"/>
  <c r="BB12" i="1"/>
  <c r="BB13" i="1"/>
  <c r="BB17" i="1"/>
  <c r="BB15" i="1"/>
  <c r="BB16" i="1"/>
  <c r="BB19" i="1"/>
  <c r="BB20" i="1"/>
  <c r="BB21" i="1"/>
  <c r="BB22" i="1"/>
  <c r="BB23" i="1"/>
  <c r="BC37" i="1"/>
  <c r="BC30" i="1"/>
  <c r="BC38" i="1"/>
  <c r="BC39" i="1"/>
  <c r="BC40" i="1"/>
  <c r="BC41" i="1"/>
  <c r="BC42" i="1"/>
  <c r="BC43" i="1"/>
  <c r="BC25" i="1"/>
  <c r="BC44" i="1"/>
  <c r="BC24" i="1"/>
  <c r="BC45" i="1"/>
  <c r="BC46" i="1"/>
  <c r="BC47" i="1"/>
  <c r="BC22" i="1"/>
  <c r="BC48" i="1"/>
  <c r="BC49" i="1"/>
  <c r="BC54" i="1"/>
  <c r="BC21" i="1"/>
  <c r="BC50" i="1"/>
  <c r="BC20" i="1"/>
  <c r="BC51" i="1"/>
  <c r="BC18" i="1"/>
  <c r="BC52" i="1"/>
  <c r="BC53" i="1"/>
  <c r="BC61" i="1"/>
  <c r="BC16" i="1"/>
  <c r="BC19" i="1"/>
  <c r="BC55" i="1"/>
  <c r="BC15" i="1"/>
  <c r="BC23" i="1"/>
  <c r="BC14" i="1"/>
  <c r="BC26" i="1"/>
  <c r="BC27" i="1"/>
  <c r="BC13" i="1"/>
  <c r="BC28" i="1"/>
  <c r="BC29" i="1"/>
  <c r="BC11" i="1"/>
  <c r="BC34" i="1"/>
  <c r="BC3" i="1"/>
  <c r="BC10" i="1"/>
  <c r="BC56" i="1"/>
  <c r="BC59" i="1"/>
  <c r="BC17" i="1"/>
  <c r="BC5" i="1"/>
  <c r="BC60" i="1"/>
  <c r="BC12" i="1"/>
  <c r="BC4" i="1"/>
  <c r="BC58" i="1"/>
  <c r="BC7" i="1"/>
  <c r="BC62" i="1"/>
  <c r="BC33" i="1"/>
  <c r="BC9" i="1"/>
  <c r="BC6" i="1"/>
  <c r="BC8" i="1"/>
  <c r="BC57" i="1"/>
  <c r="BC35" i="1"/>
  <c r="BC32" i="1"/>
  <c r="BC36" i="1"/>
  <c r="BC31" i="1"/>
  <c r="R42" i="1" a="1"/>
  <c r="Q42" i="1" s="1"/>
  <c r="R52" i="1" a="1"/>
  <c r="Q52" i="1" s="1"/>
  <c r="R20" i="1" a="1"/>
  <c r="Q20" i="1" s="1"/>
  <c r="R53" i="1" a="1"/>
  <c r="Q53" i="1" s="1"/>
  <c r="R41" i="1" a="1"/>
  <c r="Q41" i="1" s="1"/>
  <c r="R54" i="1" a="1"/>
  <c r="Q54" i="1" s="1"/>
  <c r="R23" i="1" a="1"/>
  <c r="Q23" i="1" s="1"/>
  <c r="AE9" i="1"/>
  <c r="R47" i="1" a="1"/>
  <c r="Q47" i="1" s="1"/>
  <c r="R48" i="1" a="1"/>
  <c r="Q48" i="1" s="1"/>
  <c r="R49" i="1" a="1"/>
  <c r="Q49" i="1" s="1"/>
  <c r="R50" i="1" a="1"/>
  <c r="Q50" i="1" s="1"/>
  <c r="R57" i="1" a="1"/>
  <c r="Q57" i="1" s="1"/>
  <c r="R58" i="1" a="1"/>
  <c r="Q58" i="1" s="1"/>
  <c r="AE4" i="1"/>
  <c r="AE10" i="1"/>
  <c r="AE11" i="1"/>
  <c r="AE15" i="1"/>
  <c r="AE16" i="1"/>
  <c r="AE18" i="1"/>
  <c r="AE19" i="1"/>
  <c r="AE3" i="1"/>
  <c r="AE28" i="1"/>
  <c r="AE31" i="1"/>
  <c r="AE37" i="1"/>
  <c r="AE41" i="1"/>
  <c r="AE42" i="1"/>
  <c r="AE43" i="1"/>
  <c r="AE44" i="1"/>
  <c r="R46" i="1" a="1"/>
  <c r="Q46" i="1" s="1"/>
  <c r="R51" i="1" a="1"/>
  <c r="Q51" i="1" s="1"/>
  <c r="R55" i="1" a="1"/>
  <c r="Q55" i="1" s="1"/>
  <c r="R56" i="1" a="1"/>
  <c r="Q56" i="1" s="1"/>
  <c r="AE5" i="1"/>
  <c r="AE7" i="1"/>
  <c r="AE8" i="1"/>
  <c r="AE20" i="1"/>
  <c r="AE32" i="1"/>
  <c r="AE36" i="1"/>
  <c r="AE33" i="1"/>
  <c r="AE13" i="1"/>
  <c r="AE38" i="1"/>
  <c r="AE39" i="1"/>
  <c r="AE29" i="1"/>
  <c r="AE30" i="1"/>
  <c r="AE40" i="1"/>
  <c r="AE34" i="1"/>
  <c r="AE35" i="1"/>
  <c r="R45" i="1" a="1"/>
  <c r="Q45" i="1" s="1"/>
  <c r="BL3" i="1" a="1"/>
  <c r="BK3" i="1" s="1"/>
  <c r="BL28" i="1" a="1"/>
  <c r="BK28" i="1" s="1"/>
  <c r="AD14" i="1"/>
  <c r="R14" i="1" a="1"/>
  <c r="Q14" i="1" s="1"/>
  <c r="AD12" i="1"/>
  <c r="R12" i="1" a="1"/>
  <c r="Q12" i="1" s="1"/>
  <c r="AE27" i="1"/>
  <c r="AE26" i="1"/>
  <c r="AE25" i="1"/>
  <c r="AE24" i="1"/>
  <c r="AE23" i="1"/>
  <c r="AE22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21" i="1"/>
  <c r="AE17" i="1"/>
  <c r="AE14" i="1"/>
  <c r="AE12" i="1"/>
  <c r="AE6" i="1"/>
  <c r="AF21" i="1"/>
  <c r="AF20" i="1"/>
  <c r="AF16" i="1"/>
  <c r="AF15" i="1"/>
  <c r="AF13" i="1"/>
  <c r="AF11" i="1"/>
  <c r="AF10" i="1"/>
  <c r="AF9" i="1"/>
  <c r="AF8" i="1"/>
  <c r="AF7" i="1"/>
  <c r="AF6" i="1"/>
  <c r="AF5" i="1"/>
  <c r="AF4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3" i="1"/>
  <c r="AF19" i="1"/>
  <c r="AF18" i="1"/>
  <c r="AF17" i="1"/>
  <c r="AF14" i="1"/>
  <c r="AF12" i="1"/>
  <c r="AG3" i="1"/>
  <c r="AG19" i="1"/>
  <c r="AG18" i="1"/>
  <c r="AG17" i="1"/>
  <c r="AG15" i="1"/>
  <c r="AG14" i="1"/>
  <c r="AG12" i="1"/>
  <c r="AG10" i="1"/>
  <c r="AG9" i="1"/>
  <c r="AG8" i="1"/>
  <c r="AG7" i="1"/>
  <c r="AG6" i="1"/>
  <c r="AG5" i="1"/>
  <c r="AG4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21" i="1"/>
  <c r="AG20" i="1"/>
  <c r="AG16" i="1"/>
  <c r="AG13" i="1"/>
  <c r="AG11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6" i="1"/>
  <c r="AD45" i="1"/>
  <c r="AD19" i="1"/>
  <c r="R19" i="1" a="1"/>
  <c r="Q19" i="1" s="1"/>
  <c r="AD18" i="1"/>
  <c r="R18" i="1" a="1"/>
  <c r="Q18" i="1" s="1"/>
  <c r="AD16" i="1"/>
  <c r="R16" i="1" a="1"/>
  <c r="Q16" i="1" s="1"/>
  <c r="AD15" i="1"/>
  <c r="R15" i="1" a="1"/>
  <c r="Q15" i="1" s="1"/>
  <c r="AD13" i="1"/>
  <c r="R13" i="1" a="1"/>
  <c r="Q13" i="1" s="1"/>
  <c r="AD3" i="1"/>
  <c r="R3" i="1" a="1"/>
  <c r="Q3" i="1" s="1"/>
  <c r="AD21" i="1"/>
  <c r="R21" i="1" a="1"/>
  <c r="Q21" i="1" s="1"/>
  <c r="AD17" i="1"/>
  <c r="R17" i="1" a="1"/>
  <c r="Q17" i="1" s="1"/>
  <c r="AD11" i="1"/>
  <c r="R11" i="1" a="1"/>
  <c r="Q11" i="1" s="1"/>
  <c r="AD10" i="1"/>
  <c r="R10" i="1" a="1"/>
  <c r="Q10" i="1" s="1"/>
  <c r="AD9" i="1"/>
  <c r="R9" i="1" a="1"/>
  <c r="Q9" i="1" s="1"/>
  <c r="AD8" i="1"/>
  <c r="R8" i="1" a="1"/>
  <c r="Q8" i="1" s="1"/>
  <c r="AD7" i="1"/>
  <c r="R7" i="1" a="1"/>
  <c r="Q7" i="1" s="1"/>
  <c r="AD6" i="1"/>
  <c r="R6" i="1" a="1"/>
  <c r="Q6" i="1" s="1"/>
  <c r="AD5" i="1"/>
  <c r="R5" i="1" a="1"/>
  <c r="Q5" i="1" s="1"/>
  <c r="AD4" i="1"/>
  <c r="R4" i="1" a="1"/>
  <c r="Q4" i="1" s="1"/>
  <c r="AD44" i="1"/>
  <c r="R44" i="1" a="1"/>
  <c r="Q44" i="1" s="1"/>
  <c r="AD43" i="1"/>
  <c r="R43" i="1" a="1"/>
  <c r="Q43" i="1" s="1"/>
  <c r="AD40" i="1"/>
  <c r="R40" i="1" a="1"/>
  <c r="Q40" i="1" s="1"/>
  <c r="AD39" i="1"/>
  <c r="R39" i="1" a="1"/>
  <c r="Q39" i="1" s="1"/>
  <c r="AD38" i="1"/>
  <c r="R38" i="1" a="1"/>
  <c r="Q38" i="1" s="1"/>
  <c r="AD37" i="1"/>
  <c r="R37" i="1" a="1"/>
  <c r="Q37" i="1" s="1"/>
  <c r="AD36" i="1"/>
  <c r="R36" i="1" a="1"/>
  <c r="Q36" i="1" s="1"/>
  <c r="AD35" i="1"/>
  <c r="R35" i="1" a="1"/>
  <c r="Q35" i="1" s="1"/>
  <c r="AD34" i="1"/>
  <c r="R34" i="1" a="1"/>
  <c r="Q34" i="1" s="1"/>
  <c r="AD33" i="1"/>
  <c r="R33" i="1" a="1"/>
  <c r="Q33" i="1" s="1"/>
  <c r="AD32" i="1"/>
  <c r="R32" i="1" a="1"/>
  <c r="Q32" i="1" s="1"/>
  <c r="AD31" i="1"/>
  <c r="R31" i="1" a="1"/>
  <c r="Q31" i="1" s="1"/>
  <c r="AD30" i="1"/>
  <c r="R30" i="1" a="1"/>
  <c r="Q30" i="1" s="1"/>
  <c r="AD29" i="1"/>
  <c r="R29" i="1" a="1"/>
  <c r="Q29" i="1" s="1"/>
  <c r="AD28" i="1"/>
  <c r="R28" i="1" a="1"/>
  <c r="Q28" i="1" s="1"/>
  <c r="AD27" i="1"/>
  <c r="R27" i="1" a="1"/>
  <c r="Q27" i="1" s="1"/>
  <c r="AD26" i="1"/>
  <c r="R26" i="1" a="1"/>
  <c r="Q26" i="1" s="1"/>
  <c r="AD25" i="1"/>
  <c r="R25" i="1" a="1"/>
  <c r="Q25" i="1" s="1"/>
  <c r="AD24" i="1"/>
  <c r="R24" i="1" a="1"/>
  <c r="Q24" i="1" s="1"/>
  <c r="AD22" i="1"/>
  <c r="R22" i="1" a="1"/>
  <c r="Q22" i="1" s="1"/>
  <c r="AD62" i="1"/>
  <c r="R62" i="1" a="1"/>
  <c r="Q62" i="1" s="1"/>
  <c r="AD61" i="1"/>
  <c r="R61" i="1" a="1"/>
  <c r="Q61" i="1" s="1"/>
  <c r="AD60" i="1"/>
  <c r="R60" i="1" a="1"/>
  <c r="Q60" i="1" s="1"/>
  <c r="BN63" i="1"/>
  <c r="BL42" i="1" a="1"/>
  <c r="BK42" i="1" s="1"/>
  <c r="BL31" i="1" a="1"/>
  <c r="BK31" i="1" s="1"/>
  <c r="BL27" i="1" a="1"/>
  <c r="BK27" i="1" s="1"/>
  <c r="BL22" i="1" a="1"/>
  <c r="BK22" i="1" s="1"/>
  <c r="BL49" i="1" a="1"/>
  <c r="BK49" i="1" s="1"/>
  <c r="BL61" i="1" a="1"/>
  <c r="BK61" i="1" s="1"/>
  <c r="BL54" i="1" a="1"/>
  <c r="BK54" i="1" s="1"/>
  <c r="BL62" i="1" a="1"/>
  <c r="BK62" i="1" s="1"/>
  <c r="BL32" i="1" a="1"/>
  <c r="BK32" i="1" s="1"/>
  <c r="BL4" i="1" a="1"/>
  <c r="BK4" i="1" s="1"/>
  <c r="BL40" i="1" a="1"/>
  <c r="BK40" i="1" s="1"/>
  <c r="BL5" i="1" a="1"/>
  <c r="BK5" i="1" s="1"/>
  <c r="BL6" i="1" a="1"/>
  <c r="BK6" i="1" s="1"/>
  <c r="BL7" i="1" a="1"/>
  <c r="BK7" i="1" s="1"/>
  <c r="BL8" i="1" a="1"/>
  <c r="BK8" i="1" s="1"/>
  <c r="BL9" i="1" a="1"/>
  <c r="BK9" i="1" s="1"/>
  <c r="BL10" i="1" a="1"/>
  <c r="BK10" i="1" s="1"/>
  <c r="BL11" i="1" a="1"/>
  <c r="BK11" i="1" s="1"/>
  <c r="BL12" i="1" a="1"/>
  <c r="BK12" i="1" s="1"/>
  <c r="BL13" i="1" a="1"/>
  <c r="BK13" i="1" s="1"/>
  <c r="BL14" i="1" a="1"/>
  <c r="BK14" i="1" s="1"/>
  <c r="BL15" i="1" a="1"/>
  <c r="BK15" i="1" s="1"/>
  <c r="BL16" i="1" a="1"/>
  <c r="BK16" i="1" s="1"/>
  <c r="BL17" i="1" a="1"/>
  <c r="BK17" i="1" s="1"/>
  <c r="BL18" i="1" a="1"/>
  <c r="BK18" i="1" s="1"/>
  <c r="BL19" i="1" a="1"/>
  <c r="BK19" i="1" s="1"/>
  <c r="BL20" i="1" a="1"/>
  <c r="BK20" i="1" s="1"/>
  <c r="BL33" i="1" a="1"/>
  <c r="BK33" i="1" s="1"/>
  <c r="BL34" i="1" a="1"/>
  <c r="BK34" i="1" s="1"/>
  <c r="BL35" i="1" a="1"/>
  <c r="BK35" i="1" s="1"/>
  <c r="BL36" i="1" a="1"/>
  <c r="BK36" i="1" s="1"/>
  <c r="BL37" i="1" a="1"/>
  <c r="BK37" i="1" s="1"/>
  <c r="BL38" i="1" a="1"/>
  <c r="BK38" i="1" s="1"/>
  <c r="BL39" i="1" a="1"/>
  <c r="BK39" i="1" s="1"/>
  <c r="BL41" i="1" a="1"/>
  <c r="BK41" i="1" s="1"/>
  <c r="BL43" i="1" a="1"/>
  <c r="BK43" i="1" s="1"/>
  <c r="BL44" i="1" a="1"/>
  <c r="BK44" i="1" s="1"/>
  <c r="BL45" i="1" a="1"/>
  <c r="BK45" i="1" s="1"/>
  <c r="BL46" i="1" a="1"/>
  <c r="BK46" i="1" s="1"/>
  <c r="BL47" i="1" a="1"/>
  <c r="BK47" i="1" s="1"/>
  <c r="BL48" i="1" a="1"/>
  <c r="BK48" i="1" s="1"/>
  <c r="BL50" i="1" a="1"/>
  <c r="BK50" i="1" s="1"/>
  <c r="BL51" i="1" a="1"/>
  <c r="BK51" i="1" s="1"/>
  <c r="BL52" i="1" a="1"/>
  <c r="BK52" i="1" s="1"/>
  <c r="BL53" i="1" a="1"/>
  <c r="BK53" i="1" s="1"/>
  <c r="BL55" i="1" a="1"/>
  <c r="BK55" i="1" s="1"/>
  <c r="BL56" i="1" a="1"/>
  <c r="BK56" i="1" s="1"/>
  <c r="BL57" i="1" a="1"/>
  <c r="BK57" i="1" s="1"/>
  <c r="BL58" i="1" a="1"/>
  <c r="BK58" i="1" s="1"/>
  <c r="BL59" i="1" a="1"/>
  <c r="BK59" i="1" s="1"/>
  <c r="BL60" i="1" a="1"/>
  <c r="BK60" i="1" s="1"/>
  <c r="AP62" i="1" l="1" a="1"/>
  <c r="AO62" i="1" s="1"/>
  <c r="AZ62" i="1"/>
  <c r="AP26" i="1" a="1"/>
  <c r="AO26" i="1" s="1"/>
  <c r="AZ26" i="1"/>
  <c r="AP59" i="1" a="1"/>
  <c r="AO59" i="1" s="1"/>
  <c r="AZ59" i="1"/>
  <c r="AP25" i="1" a="1"/>
  <c r="AO25" i="1" s="1"/>
  <c r="AZ25" i="1"/>
  <c r="AP24" i="1" a="1"/>
  <c r="AO24" i="1" s="1"/>
  <c r="AZ24" i="1"/>
  <c r="AP22" i="1" a="1"/>
  <c r="AO22" i="1" s="1"/>
  <c r="AZ22" i="1"/>
  <c r="AP7" i="1" a="1"/>
  <c r="AO7" i="1" s="1"/>
  <c r="AZ7" i="1"/>
  <c r="AP55" i="1" a="1"/>
  <c r="AO55" i="1" s="1"/>
  <c r="AZ55" i="1"/>
  <c r="AP20" i="1" a="1"/>
  <c r="AO20" i="1" s="1"/>
  <c r="AZ20" i="1"/>
  <c r="AP19" i="1" a="1"/>
  <c r="AO19" i="1" s="1"/>
  <c r="AZ19" i="1"/>
  <c r="AP6" i="1" a="1"/>
  <c r="AO6" i="1" s="1"/>
  <c r="AZ6" i="1"/>
  <c r="AP16" i="1" a="1"/>
  <c r="AO16" i="1" s="1"/>
  <c r="AZ16" i="1"/>
  <c r="AP15" i="1" a="1"/>
  <c r="AO15" i="1" s="1"/>
  <c r="AZ15" i="1"/>
  <c r="AP14" i="1" a="1"/>
  <c r="AO14" i="1" s="1"/>
  <c r="AZ14" i="1"/>
  <c r="AP13" i="1" a="1"/>
  <c r="AO13" i="1" s="1"/>
  <c r="AZ13" i="1"/>
  <c r="AP17" i="1" a="1"/>
  <c r="AO17" i="1" s="1"/>
  <c r="AZ17" i="1"/>
  <c r="AP44" i="1" a="1"/>
  <c r="AO44" i="1" s="1"/>
  <c r="AZ44" i="1"/>
  <c r="AP42" i="1" a="1"/>
  <c r="AO42" i="1" s="1"/>
  <c r="AZ42" i="1"/>
  <c r="AP27" i="1" a="1"/>
  <c r="AO27" i="1" s="1"/>
  <c r="AZ27" i="1"/>
  <c r="AP3" i="1" a="1"/>
  <c r="AO3" i="1" s="1"/>
  <c r="AZ3" i="1"/>
  <c r="AP39" i="1" a="1"/>
  <c r="AO39" i="1" s="1"/>
  <c r="AZ39" i="1"/>
  <c r="AP38" i="1" a="1"/>
  <c r="AO38" i="1" s="1"/>
  <c r="AZ38" i="1"/>
  <c r="AP57" i="1" a="1"/>
  <c r="AO57" i="1" s="1"/>
  <c r="AZ57" i="1"/>
  <c r="AP37" i="1" a="1"/>
  <c r="AO37" i="1" s="1"/>
  <c r="AZ37" i="1"/>
  <c r="AP31" i="1" a="1"/>
  <c r="AO31" i="1" s="1"/>
  <c r="AZ31" i="1"/>
  <c r="AP60" i="1" a="1"/>
  <c r="AO60" i="1" s="1"/>
  <c r="AZ60" i="1"/>
  <c r="AP58" i="1" a="1"/>
  <c r="AO58" i="1" s="1"/>
  <c r="AZ58" i="1"/>
  <c r="AP12" i="1" a="1"/>
  <c r="AO12" i="1" s="1"/>
  <c r="AZ12" i="1"/>
  <c r="AP53" i="1" a="1"/>
  <c r="AO53" i="1" s="1"/>
  <c r="AZ53" i="1"/>
  <c r="AP32" i="1" a="1"/>
  <c r="AO32" i="1" s="1"/>
  <c r="AZ32" i="1"/>
  <c r="AP61" i="1" a="1"/>
  <c r="AO61" i="1" s="1"/>
  <c r="AZ61" i="1"/>
  <c r="AP9" i="1" a="1"/>
  <c r="AO9" i="1" s="1"/>
  <c r="AZ9" i="1"/>
  <c r="AP52" i="1" a="1"/>
  <c r="AO52" i="1" s="1"/>
  <c r="AZ52" i="1"/>
  <c r="AP33" i="1" a="1"/>
  <c r="AO33" i="1" s="1"/>
  <c r="AZ33" i="1"/>
  <c r="AP43" i="1" a="1"/>
  <c r="AO43" i="1" s="1"/>
  <c r="AZ43" i="1"/>
  <c r="AP18" i="1" a="1"/>
  <c r="AO18" i="1" s="1"/>
  <c r="AZ18" i="1"/>
  <c r="AP51" i="1" a="1"/>
  <c r="AO51" i="1" s="1"/>
  <c r="AZ51" i="1"/>
  <c r="AP54" i="1" a="1"/>
  <c r="AO54" i="1" s="1"/>
  <c r="AZ54" i="1"/>
  <c r="AP50" i="1" a="1"/>
  <c r="AO50" i="1" s="1"/>
  <c r="AZ50" i="1"/>
  <c r="AP34" i="1" a="1"/>
  <c r="AO34" i="1" s="1"/>
  <c r="AZ34" i="1"/>
  <c r="AP49" i="1" a="1"/>
  <c r="AO49" i="1" s="1"/>
  <c r="AZ49" i="1"/>
  <c r="AP4" i="1" a="1"/>
  <c r="AO4" i="1" s="1"/>
  <c r="AZ4" i="1"/>
  <c r="AP21" i="1" a="1"/>
  <c r="AO21" i="1" s="1"/>
  <c r="AZ21" i="1"/>
  <c r="AP48" i="1" a="1"/>
  <c r="AO48" i="1" s="1"/>
  <c r="AZ48" i="1"/>
  <c r="AP5" i="1" a="1"/>
  <c r="AO5" i="1" s="1"/>
  <c r="AZ5" i="1"/>
  <c r="AP47" i="1" a="1"/>
  <c r="AO47" i="1" s="1"/>
  <c r="AZ47" i="1"/>
  <c r="AP23" i="1" a="1"/>
  <c r="AO23" i="1" s="1"/>
  <c r="AZ23" i="1"/>
  <c r="AP46" i="1" a="1"/>
  <c r="AO46" i="1" s="1"/>
  <c r="AZ46" i="1"/>
  <c r="AP10" i="1" a="1"/>
  <c r="AO10" i="1" s="1"/>
  <c r="AZ10" i="1"/>
  <c r="AP45" i="1" a="1"/>
  <c r="AO45" i="1" s="1"/>
  <c r="AZ45" i="1"/>
  <c r="AP41" i="1" a="1"/>
  <c r="AO41" i="1" s="1"/>
  <c r="AZ41" i="1"/>
  <c r="AP28" i="1" a="1"/>
  <c r="AO28" i="1" s="1"/>
  <c r="AZ28" i="1"/>
  <c r="AP40" i="1" a="1"/>
  <c r="AO40" i="1" s="1"/>
  <c r="AZ40" i="1"/>
  <c r="AP11" i="1" a="1"/>
  <c r="AO11" i="1" s="1"/>
  <c r="AZ11" i="1"/>
  <c r="AP29" i="1" a="1"/>
  <c r="AO29" i="1" s="1"/>
  <c r="AZ29" i="1"/>
  <c r="AP30" i="1" a="1"/>
  <c r="AO30" i="1" s="1"/>
  <c r="AZ30" i="1"/>
  <c r="AP36" i="1" a="1"/>
  <c r="AO36" i="1" s="1"/>
  <c r="AZ36" i="1"/>
  <c r="AP35" i="1" a="1"/>
  <c r="AO35" i="1" s="1"/>
  <c r="AZ35" i="1"/>
  <c r="AP56" i="1" a="1"/>
  <c r="AO56" i="1" s="1"/>
  <c r="AZ56" i="1"/>
  <c r="AP8" i="1" a="1"/>
  <c r="AO8" i="1" s="1"/>
  <c r="AZ8" i="1"/>
  <c r="AJ63" i="1"/>
  <c r="AX40" i="1"/>
  <c r="AX41" i="1"/>
  <c r="AX35" i="1"/>
  <c r="AX30" i="1"/>
  <c r="AX49" i="1"/>
  <c r="AX46" i="1"/>
  <c r="AX45" i="1"/>
  <c r="AX56" i="1"/>
  <c r="AX48" i="1"/>
  <c r="AX5" i="1"/>
  <c r="AX36" i="1"/>
  <c r="AX23" i="1"/>
  <c r="AX4" i="1"/>
  <c r="AX21" i="1"/>
  <c r="AX47" i="1"/>
  <c r="AX8" i="1"/>
  <c r="AX29" i="1"/>
  <c r="AX11" i="1"/>
  <c r="AX10" i="1"/>
  <c r="AX28" i="1"/>
  <c r="AY21" i="1" a="1"/>
  <c r="AY30" i="1" a="1"/>
  <c r="AY4" i="1" a="1"/>
  <c r="AY5" i="1" a="1"/>
  <c r="AY45" i="1" a="1"/>
  <c r="AY8" i="1" a="1"/>
  <c r="AY29" i="1" a="1"/>
  <c r="AY23" i="1" a="1"/>
  <c r="AY47" i="1" a="1"/>
  <c r="AY11" i="1" a="1"/>
  <c r="AW5" i="1" s="1"/>
  <c r="AY40" i="1" a="1"/>
  <c r="AY36" i="1" a="1"/>
  <c r="AY41" i="1" a="1"/>
  <c r="AW23" i="1" s="1"/>
  <c r="AY49" i="1" a="1"/>
  <c r="AY56" i="1" a="1"/>
  <c r="AY48" i="1" a="1"/>
  <c r="AY10" i="1" a="1"/>
  <c r="AY35" i="1" a="1"/>
  <c r="AW8" i="1" s="1"/>
  <c r="AY46" i="1" a="1"/>
  <c r="AW36" i="1" s="1"/>
  <c r="AY28" i="1" a="1"/>
  <c r="R63" i="1"/>
  <c r="AC12" i="1" a="1"/>
  <c r="AB12" i="1" s="1"/>
  <c r="AC47" i="1" a="1"/>
  <c r="AB47" i="1" s="1"/>
  <c r="AC44" i="1" a="1"/>
  <c r="AB44" i="1" s="1"/>
  <c r="AC43" i="1" a="1"/>
  <c r="AB43" i="1" s="1"/>
  <c r="AC42" i="1" a="1"/>
  <c r="AB42" i="1" s="1"/>
  <c r="AC41" i="1" a="1"/>
  <c r="AB41" i="1" s="1"/>
  <c r="AC40" i="1" a="1"/>
  <c r="AB40" i="1" s="1"/>
  <c r="AC39" i="1" a="1"/>
  <c r="AB39" i="1" s="1"/>
  <c r="AC38" i="1" a="1"/>
  <c r="AB38" i="1" s="1"/>
  <c r="AC37" i="1" a="1"/>
  <c r="AB37" i="1" s="1"/>
  <c r="AC36" i="1" a="1"/>
  <c r="AB36" i="1" s="1"/>
  <c r="AC35" i="1" a="1"/>
  <c r="AB35" i="1" s="1"/>
  <c r="AC31" i="1" a="1"/>
  <c r="AB31" i="1" s="1"/>
  <c r="AC21" i="1" a="1"/>
  <c r="AB21" i="1" s="1"/>
  <c r="AC20" i="1" a="1"/>
  <c r="AB20" i="1" s="1"/>
  <c r="AC28" i="1" a="1"/>
  <c r="AB28" i="1" s="1"/>
  <c r="AC59" i="1" a="1"/>
  <c r="AB59" i="1" s="1"/>
  <c r="AC58" i="1" a="1"/>
  <c r="AB58" i="1" s="1"/>
  <c r="AC57" i="1" a="1"/>
  <c r="AB57" i="1" s="1"/>
  <c r="AC56" i="1" a="1"/>
  <c r="AB56" i="1" s="1"/>
  <c r="AC55" i="1" a="1"/>
  <c r="AB55" i="1" s="1"/>
  <c r="AC54" i="1" a="1"/>
  <c r="AB54" i="1" s="1"/>
  <c r="AC53" i="1" a="1"/>
  <c r="AB53" i="1" s="1"/>
  <c r="AC52" i="1" a="1"/>
  <c r="AB52" i="1" s="1"/>
  <c r="AC51" i="1" a="1"/>
  <c r="AB51" i="1" s="1"/>
  <c r="AC50" i="1" a="1"/>
  <c r="AB50" i="1" s="1"/>
  <c r="AC48" i="1" a="1"/>
  <c r="AB48" i="1" s="1"/>
  <c r="AC46" i="1" a="1"/>
  <c r="AB46" i="1" s="1"/>
  <c r="AC45" i="1" a="1"/>
  <c r="AB45" i="1" s="1"/>
  <c r="AC30" i="1" a="1"/>
  <c r="AB30" i="1" s="1"/>
  <c r="AC49" i="1" a="1"/>
  <c r="AB49" i="1" s="1"/>
  <c r="AC32" i="1" a="1"/>
  <c r="AB32" i="1" s="1"/>
  <c r="AC29" i="1" a="1"/>
  <c r="AB29" i="1" s="1"/>
  <c r="AC34" i="1" a="1"/>
  <c r="AB34" i="1" s="1"/>
  <c r="AC27" i="1" a="1"/>
  <c r="AB27" i="1" s="1"/>
  <c r="AC26" i="1" a="1"/>
  <c r="AB26" i="1" s="1"/>
  <c r="AC25" i="1" a="1"/>
  <c r="AB25" i="1" s="1"/>
  <c r="AC24" i="1" a="1"/>
  <c r="AB24" i="1" s="1"/>
  <c r="AC23" i="1" a="1"/>
  <c r="AB23" i="1" s="1"/>
  <c r="AC22" i="1" a="1"/>
  <c r="AB22" i="1" s="1"/>
  <c r="AC62" i="1" a="1"/>
  <c r="AB62" i="1" s="1"/>
  <c r="AC61" i="1" a="1"/>
  <c r="AB61" i="1" s="1"/>
  <c r="AC60" i="1" a="1"/>
  <c r="AB60" i="1" s="1"/>
  <c r="AC33" i="1" a="1"/>
  <c r="AB33" i="1" s="1"/>
  <c r="AC14" i="1" a="1"/>
  <c r="AB14" i="1" s="1"/>
  <c r="AC6" i="1" a="1"/>
  <c r="AB6" i="1" s="1"/>
  <c r="AC16" i="1" a="1"/>
  <c r="AB16" i="1" s="1"/>
  <c r="AC15" i="1" a="1"/>
  <c r="AB15" i="1" s="1"/>
  <c r="AC13" i="1" a="1"/>
  <c r="AB13" i="1" s="1"/>
  <c r="AC11" i="1" a="1"/>
  <c r="AB11" i="1" s="1"/>
  <c r="AC10" i="1" a="1"/>
  <c r="AB10" i="1" s="1"/>
  <c r="AC9" i="1" a="1"/>
  <c r="AB9" i="1" s="1"/>
  <c r="AC8" i="1" a="1"/>
  <c r="AB8" i="1" s="1"/>
  <c r="AC7" i="1" a="1"/>
  <c r="AB7" i="1" s="1"/>
  <c r="AC5" i="1" a="1"/>
  <c r="AB5" i="1" s="1"/>
  <c r="AC4" i="1" a="1"/>
  <c r="AB4" i="1" s="1"/>
  <c r="AC19" i="1" a="1"/>
  <c r="AB19" i="1" s="1"/>
  <c r="AC18" i="1" a="1"/>
  <c r="AB18" i="1" s="1"/>
  <c r="AC17" i="1" a="1"/>
  <c r="AB17" i="1" s="1"/>
  <c r="AC3" i="1" a="1"/>
  <c r="AB3" i="1" s="1"/>
  <c r="BL63" i="1"/>
  <c r="AP63" i="1" l="1"/>
  <c r="AW56" i="1"/>
  <c r="AW48" i="1"/>
  <c r="AX62" i="1"/>
  <c r="AY62" i="1" a="1"/>
  <c r="AX26" i="1"/>
  <c r="AY26" i="1" a="1"/>
  <c r="AX59" i="1"/>
  <c r="AY59" i="1" a="1"/>
  <c r="AW30" i="1" s="1"/>
  <c r="AX25" i="1"/>
  <c r="AY25" i="1" a="1"/>
  <c r="AY24" i="1" a="1"/>
  <c r="AW46" i="1" s="1"/>
  <c r="AX24" i="1"/>
  <c r="AY22" i="1" a="1"/>
  <c r="AW4" i="1" s="1"/>
  <c r="AX22" i="1"/>
  <c r="AX7" i="1"/>
  <c r="AY7" i="1" a="1"/>
  <c r="AX55" i="1"/>
  <c r="AY55" i="1" a="1"/>
  <c r="AX20" i="1"/>
  <c r="AY20" i="1" a="1"/>
  <c r="AY19" i="1" a="1"/>
  <c r="AX19" i="1"/>
  <c r="AY6" i="1" a="1"/>
  <c r="AX6" i="1"/>
  <c r="AY16" i="1" a="1"/>
  <c r="AX16" i="1"/>
  <c r="AY15" i="1" a="1"/>
  <c r="AW35" i="1" s="1"/>
  <c r="AX15" i="1"/>
  <c r="AX14" i="1"/>
  <c r="AY14" i="1" a="1"/>
  <c r="AX13" i="1"/>
  <c r="AY13" i="1" a="1"/>
  <c r="AW45" i="1" s="1"/>
  <c r="AY17" i="1" a="1"/>
  <c r="AX17" i="1"/>
  <c r="AX44" i="1"/>
  <c r="AY44" i="1" a="1"/>
  <c r="AX42" i="1"/>
  <c r="AY42" i="1" a="1"/>
  <c r="AW21" i="1" s="1"/>
  <c r="AY27" i="1" a="1"/>
  <c r="AW47" i="1" s="1"/>
  <c r="AX27" i="1"/>
  <c r="AY3" i="1" a="1"/>
  <c r="AX3" i="1"/>
  <c r="AX39" i="1"/>
  <c r="AY39" i="1" a="1"/>
  <c r="AX38" i="1"/>
  <c r="AY38" i="1" a="1"/>
  <c r="AW10" i="1" s="1"/>
  <c r="AY57" i="1" a="1"/>
  <c r="AX57" i="1"/>
  <c r="AY37" i="1" a="1"/>
  <c r="AX37" i="1"/>
  <c r="AY31" i="1" a="1"/>
  <c r="AX31" i="1"/>
  <c r="AY60" i="1" a="1"/>
  <c r="AW28" i="1" s="1"/>
  <c r="AX60" i="1"/>
  <c r="AX58" i="1"/>
  <c r="AY58" i="1" a="1"/>
  <c r="AW17" i="1" s="1"/>
  <c r="AX12" i="1"/>
  <c r="AY12" i="1" a="1"/>
  <c r="AY53" i="1" a="1"/>
  <c r="AX53" i="1"/>
  <c r="AX32" i="1"/>
  <c r="AY32" i="1" a="1"/>
  <c r="AY61" i="1" a="1"/>
  <c r="AX61" i="1"/>
  <c r="AX9" i="1"/>
  <c r="AY9" i="1" a="1"/>
  <c r="AY52" i="1" a="1"/>
  <c r="AW29" i="1" s="1"/>
  <c r="AX52" i="1"/>
  <c r="AX33" i="1"/>
  <c r="AY33" i="1" a="1"/>
  <c r="AX43" i="1"/>
  <c r="AY43" i="1" a="1"/>
  <c r="AX18" i="1"/>
  <c r="AY18" i="1" a="1"/>
  <c r="AX51" i="1"/>
  <c r="AY51" i="1" a="1"/>
  <c r="AY54" i="1" a="1"/>
  <c r="AX54" i="1"/>
  <c r="AX50" i="1"/>
  <c r="AY50" i="1" a="1"/>
  <c r="AY34" i="1" a="1"/>
  <c r="AW33" i="1" s="1"/>
  <c r="AX34" i="1"/>
  <c r="AC63" i="1"/>
  <c r="AW13" i="1" l="1"/>
  <c r="AW38" i="1"/>
  <c r="AW12" i="1"/>
  <c r="AW37" i="1"/>
  <c r="AW43" i="1"/>
  <c r="AW50" i="1"/>
  <c r="AW62" i="1"/>
  <c r="AW49" i="1"/>
  <c r="AW7" i="1"/>
  <c r="AW24" i="1"/>
  <c r="AW19" i="1"/>
  <c r="AW41" i="1"/>
  <c r="AW6" i="1"/>
  <c r="AW42" i="1"/>
  <c r="AW16" i="1"/>
  <c r="AW15" i="1"/>
  <c r="AW44" i="1"/>
  <c r="AW59" i="1"/>
  <c r="AW3" i="1"/>
  <c r="AW31" i="1"/>
  <c r="AW39" i="1"/>
  <c r="AW14" i="1"/>
  <c r="AW32" i="1"/>
  <c r="AW57" i="1"/>
  <c r="AW61" i="1"/>
  <c r="AW20" i="1"/>
  <c r="AW9" i="1"/>
  <c r="AW40" i="1"/>
  <c r="AW18" i="1"/>
  <c r="AW53" i="1"/>
  <c r="AW51" i="1"/>
  <c r="AW11" i="1"/>
  <c r="AW54" i="1"/>
  <c r="AW58" i="1"/>
  <c r="AW27" i="1"/>
  <c r="AW60" i="1"/>
  <c r="AW22" i="1"/>
  <c r="AW55" i="1"/>
  <c r="AW34" i="1"/>
  <c r="AW52" i="1"/>
  <c r="AW26" i="1"/>
  <c r="AW25" i="1"/>
  <c r="AY6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<sst xmlns="http://schemas.openxmlformats.org/spreadsheetml/2006/main" count="510" uniqueCount="122">
  <si>
    <t>request_text</t>
  </si>
  <si>
    <t>category</t>
  </si>
  <si>
    <t>large pothole outside colombo street causing cars to swerve</t>
  </si>
  <si>
    <t>road</t>
  </si>
  <si>
    <t>Prediction</t>
  </si>
  <si>
    <t>model_used</t>
  </si>
  <si>
    <t>log_road_conf</t>
  </si>
  <si>
    <t>l_s_c</t>
  </si>
  <si>
    <t>l_ws_c</t>
  </si>
  <si>
    <t>l_wr_c</t>
  </si>
  <si>
    <t>nb_road_conf</t>
  </si>
  <si>
    <t>n_s_c</t>
  </si>
  <si>
    <t>n_ws_c</t>
  </si>
  <si>
    <t>n_wr_c</t>
  </si>
  <si>
    <t>glass and loose gravel left on cycle lane near hagley park</t>
  </si>
  <si>
    <t>log_reg</t>
  </si>
  <si>
    <t>traffic light at moorhouse avenue not changing for pedestrians</t>
  </si>
  <si>
    <t>waste</t>
  </si>
  <si>
    <t>multi_nb</t>
  </si>
  <si>
    <t>deep crack forming on footpath beside the primary school</t>
  </si>
  <si>
    <t>street sign has fallen over after strong winds</t>
  </si>
  <si>
    <t>road marking at the roundabout has faded and is hard to see at night</t>
  </si>
  <si>
    <t>water</t>
  </si>
  <si>
    <t>stormwater grate is loose and making loud noise when buses pass</t>
  </si>
  <si>
    <t>safety</t>
  </si>
  <si>
    <t>broken curb stone on corner is blocking pram access</t>
  </si>
  <si>
    <t>several potholes along school dropoff area need urgent repair</t>
  </si>
  <si>
    <t>loose metal on road shoulder is creating dust and safety risk</t>
  </si>
  <si>
    <t>missed rubbish collection for our street again this week</t>
  </si>
  <si>
    <t>recycling bins overflowing beside the community hall</t>
  </si>
  <si>
    <t>public litter bin in the park has not been emptied for days</t>
  </si>
  <si>
    <t>illegal dumping of furniture behind the shops on ferry road</t>
  </si>
  <si>
    <t>broken glass around the rubbish area near the playground</t>
  </si>
  <si>
    <t>green waste bags split open and rubbish has scattered on footpath</t>
  </si>
  <si>
    <t>dog waste bin is full and smell is getting worse</t>
  </si>
  <si>
    <t>household rubbish dumped beside reserve entrance overnight</t>
  </si>
  <si>
    <t>recycling crate was not collected even though it was placed out on time</t>
  </si>
  <si>
    <t>overflowing bin near bus stop is attracting birds and mess</t>
  </si>
  <si>
    <t>water leaking from pipe near footpath and flowing onto road</t>
  </si>
  <si>
    <t>burst water main has reduced pressure in nearby homes</t>
  </si>
  <si>
    <t>stormwater drain blocked with leaves causing ponding after rain</t>
  </si>
  <si>
    <t>continuous dripping from council tap in the reserve</t>
  </si>
  <si>
    <t>mud and water pooling across the shared path after every shower</t>
  </si>
  <si>
    <t>sewer smell is strong near the creek walkway</t>
  </si>
  <si>
    <t>blocked culvert causing water to back up along the roadside</t>
  </si>
  <si>
    <t>leak from irrigation line in park has created slippery surface</t>
  </si>
  <si>
    <t>standing water near play area may be a health risk</t>
  </si>
  <si>
    <t>drain cover missing and water channel exposed beside kerb</t>
  </si>
  <si>
    <t>streetlight outside bus stop is not working and area feels unsafe</t>
  </si>
  <si>
    <t>broken swing chain at playground could injure children</t>
  </si>
  <si>
    <t>graffiti on community centre wall has offensive wording</t>
  </si>
  <si>
    <t>damaged fence at reserve allows easy access to construction site</t>
  </si>
  <si>
    <t>loose paving stones at entrance to library are a trip hazard</t>
  </si>
  <si>
    <t>playground gate does not close properly and opens onto road</t>
  </si>
  <si>
    <t>large branch hanging over footpath looks like it may fall</t>
  </si>
  <si>
    <t>bus shelter glass panel cracked and dangerous</t>
  </si>
  <si>
    <t>poor lighting in alleyway behind shops is attracting unsafe behaviour</t>
  </si>
  <si>
    <t>handrail on pedestrian bridge is loose</t>
  </si>
  <si>
    <t>pothole developing near the intersection and drivers are swerving around it</t>
  </si>
  <si>
    <t>faded lane markings are difficult to follow in wet weather</t>
  </si>
  <si>
    <t>footpath surface has lifted and is becoming uneven</t>
  </si>
  <si>
    <t>damaged kerb ramp makes wheelchair access difficult</t>
  </si>
  <si>
    <t>loose grating beside the carriageway rattles under traffic</t>
  </si>
  <si>
    <t>public bin is full and rubbish is spilling onto the ground</t>
  </si>
  <si>
    <t>dumped household items have been left beside the reserve fence</t>
  </si>
  <si>
    <t>recycling was missed on collection day for several homes</t>
  </si>
  <si>
    <t>litter around the park picnic area needs urgent cleanup</t>
  </si>
  <si>
    <t>waste bags have split and contents are spread across the path</t>
  </si>
  <si>
    <t>blocked drain is causing surface flooding after rain</t>
  </si>
  <si>
    <t>water leak near the verge is running across the footpath</t>
  </si>
  <si>
    <t>strong wastewater smell near the channel suggests a pipe issue</t>
  </si>
  <si>
    <t>standing water remains near the playground for days</t>
  </si>
  <si>
    <t>missing drain cover creates risk beside flowing water</t>
  </si>
  <si>
    <t>streetlight failure has left the walkway dark at night</t>
  </si>
  <si>
    <t>broken playground equipment could cause injury</t>
  </si>
  <si>
    <t>cracked glass at the shelter is hazardous to the public</t>
  </si>
  <si>
    <t>loose handrail on stairs needs urgent attention</t>
  </si>
  <si>
    <t>overhanging branch above the footpath looks unsafe</t>
  </si>
  <si>
    <t>Log_reg prediction</t>
  </si>
  <si>
    <t>Multi_nb prediction</t>
  </si>
  <si>
    <t>Weights</t>
  </si>
  <si>
    <t>Log road</t>
  </si>
  <si>
    <t>NB Road</t>
  </si>
  <si>
    <t>Accuracy</t>
  </si>
  <si>
    <t>Count cat</t>
  </si>
  <si>
    <t>acc%</t>
  </si>
  <si>
    <t>prob false pos</t>
  </si>
  <si>
    <t>false pos</t>
  </si>
  <si>
    <t>false neg</t>
  </si>
  <si>
    <t>F.N/F.P</t>
  </si>
  <si>
    <t>F.N. or P / F.P. / count *10</t>
  </si>
  <si>
    <t>Weighted sums</t>
  </si>
  <si>
    <t>Weighted confs</t>
  </si>
  <si>
    <t>Basic sums</t>
  </si>
  <si>
    <t>A / F.P</t>
  </si>
  <si>
    <t>Accuracy weight</t>
  </si>
  <si>
    <t>F.N./30</t>
  </si>
  <si>
    <t>*</t>
  </si>
  <si>
    <t>FN or A /FP</t>
  </si>
  <si>
    <t>Log reg</t>
  </si>
  <si>
    <t>Accurate</t>
  </si>
  <si>
    <t>False Pos</t>
  </si>
  <si>
    <t>False neg</t>
  </si>
  <si>
    <t>NB</t>
  </si>
  <si>
    <t>Log reg accuracy matrix</t>
  </si>
  <si>
    <t>accurate</t>
  </si>
  <si>
    <t>NB accuracy matrix</t>
  </si>
  <si>
    <t>Acc+FP</t>
  </si>
  <si>
    <t>catcount*prob fals pos</t>
  </si>
  <si>
    <t>Cat %</t>
  </si>
  <si>
    <t>Root cat% / Root accuracy%</t>
  </si>
  <si>
    <t>NB acc</t>
  </si>
  <si>
    <t>Log Acc</t>
  </si>
  <si>
    <t>Acc diff</t>
  </si>
  <si>
    <t>1-cat%</t>
  </si>
  <si>
    <t>1-acc%</t>
  </si>
  <si>
    <t>Weighted cat+acc</t>
  </si>
  <si>
    <t>Weighted cat+acc sums</t>
  </si>
  <si>
    <t>Max conf</t>
  </si>
  <si>
    <t>Correct</t>
  </si>
  <si>
    <t>Base model:</t>
  </si>
  <si>
    <t>Max 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</si>
</sst>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%"/>
    <numFmt numFmtId="168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2" fontId="0" fillId="0" borderId="0" xfId="0" applyNumberFormat="1"/>
    <xf numFmtId="9" fontId="0" fillId="0" borderId="0" xfId="0" applyNumberFormat="1"/>
    <xf numFmtId="0" fontId="6" fillId="2" borderId="0" xfId="6"/>
    <xf numFmtId="1" fontId="0" fillId="0" borderId="0" xfId="0" quotePrefix="1" applyNumberFormat="1"/>
    <xf numFmtId="1" fontId="0" fillId="0" borderId="0" xfId="0" applyNumberFormat="1"/>
    <xf numFmtId="166" fontId="0" fillId="0" borderId="0" xfId="0" applyNumberFormat="1"/>
    <xf numFmtId="49" fontId="0" fillId="0" borderId="0" xfId="0" applyNumberFormat="1"/>
    <xf numFmtId="168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11769770236579"/>
          <c:y val="0.15782407407407409"/>
          <c:w val="0.56758573928258971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predictwithfallbackConfidences!$AX$2</c:f>
              <c:strCache>
                <c:ptCount val="1"/>
                <c:pt idx="0">
                  <c:v>Max conf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predictwithfallbackConfidences!$AW$3:$AW$62</c:f>
              <c:numCache>
                <c:formatCode>@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</c:numCache>
            </c:numRef>
          </c:xVal>
          <c:yVal>
            <c:numRef>
              <c:f>predictwithfallbackConfidences!$AX$3:$AX$62</c:f>
              <c:numCache>
                <c:formatCode>0.000</c:formatCode>
                <c:ptCount val="60"/>
                <c:pt idx="0">
                  <c:v>0.40131370590042492</c:v>
                </c:pt>
                <c:pt idx="1">
                  <c:v>0.35350814496547711</c:v>
                </c:pt>
                <c:pt idx="2">
                  <c:v>0.4919064434780559</c:v>
                </c:pt>
                <c:pt idx="3">
                  <c:v>0.44564209098299412</c:v>
                </c:pt>
                <c:pt idx="4">
                  <c:v>0.37723061505283029</c:v>
                </c:pt>
                <c:pt idx="5">
                  <c:v>0.40951388794963695</c:v>
                </c:pt>
                <c:pt idx="6">
                  <c:v>0.43682178139931782</c:v>
                </c:pt>
                <c:pt idx="7">
                  <c:v>0.46123078422062025</c:v>
                </c:pt>
                <c:pt idx="8">
                  <c:v>0.35774092379782385</c:v>
                </c:pt>
                <c:pt idx="9">
                  <c:v>0.42108096625016889</c:v>
                </c:pt>
                <c:pt idx="10">
                  <c:v>0.46462425319761658</c:v>
                </c:pt>
                <c:pt idx="11">
                  <c:v>0.3875986245568952</c:v>
                </c:pt>
                <c:pt idx="12">
                  <c:v>0.42407414791504827</c:v>
                </c:pt>
                <c:pt idx="13">
                  <c:v>0.4439764681342645</c:v>
                </c:pt>
                <c:pt idx="14">
                  <c:v>0.41856940826659128</c:v>
                </c:pt>
                <c:pt idx="15">
                  <c:v>0.49144041374825098</c:v>
                </c:pt>
                <c:pt idx="16">
                  <c:v>0.44014224667873858</c:v>
                </c:pt>
                <c:pt idx="17">
                  <c:v>0.47276944632000689</c:v>
                </c:pt>
                <c:pt idx="18">
                  <c:v>0.43082962080190101</c:v>
                </c:pt>
                <c:pt idx="19">
                  <c:v>0.35694695476027094</c:v>
                </c:pt>
                <c:pt idx="20">
                  <c:v>0.47375806837463208</c:v>
                </c:pt>
                <c:pt idx="21">
                  <c:v>0.46507307159714861</c:v>
                </c:pt>
                <c:pt idx="22">
                  <c:v>0.4559486162493735</c:v>
                </c:pt>
                <c:pt idx="23">
                  <c:v>0.40466151344183393</c:v>
                </c:pt>
                <c:pt idx="24">
                  <c:v>0.46512423578386008</c:v>
                </c:pt>
                <c:pt idx="25">
                  <c:v>0.38233701305601264</c:v>
                </c:pt>
                <c:pt idx="26">
                  <c:v>0.611486188450588</c:v>
                </c:pt>
                <c:pt idx="27">
                  <c:v>0.44699637319488417</c:v>
                </c:pt>
                <c:pt idx="28">
                  <c:v>0.50679638376713076</c:v>
                </c:pt>
                <c:pt idx="29">
                  <c:v>0.54100042080441257</c:v>
                </c:pt>
                <c:pt idx="30">
                  <c:v>0.38348647764597038</c:v>
                </c:pt>
                <c:pt idx="31">
                  <c:v>0.40981839856101454</c:v>
                </c:pt>
                <c:pt idx="32">
                  <c:v>0.37745867426072233</c:v>
                </c:pt>
                <c:pt idx="33">
                  <c:v>0.46902527790089676</c:v>
                </c:pt>
                <c:pt idx="34">
                  <c:v>0.51536580067143722</c:v>
                </c:pt>
                <c:pt idx="35">
                  <c:v>0.38657856243825006</c:v>
                </c:pt>
                <c:pt idx="36">
                  <c:v>0.43712993908860309</c:v>
                </c:pt>
                <c:pt idx="37">
                  <c:v>0.46802788005215412</c:v>
                </c:pt>
                <c:pt idx="38">
                  <c:v>0.36695256993442199</c:v>
                </c:pt>
                <c:pt idx="39">
                  <c:v>0.50436842104824753</c:v>
                </c:pt>
                <c:pt idx="40">
                  <c:v>0.38194928444824428</c:v>
                </c:pt>
                <c:pt idx="41">
                  <c:v>0.56084338912957932</c:v>
                </c:pt>
                <c:pt idx="42">
                  <c:v>0.37618657180975246</c:v>
                </c:pt>
                <c:pt idx="43">
                  <c:v>0.42563260655951762</c:v>
                </c:pt>
                <c:pt idx="44">
                  <c:v>0.53334672140574924</c:v>
                </c:pt>
                <c:pt idx="45">
                  <c:v>0.58348144577705097</c:v>
                </c:pt>
                <c:pt idx="46">
                  <c:v>0.3772412206529443</c:v>
                </c:pt>
                <c:pt idx="47">
                  <c:v>0.42980286777394444</c:v>
                </c:pt>
                <c:pt idx="48">
                  <c:v>0.39943166044213446</c:v>
                </c:pt>
                <c:pt idx="49">
                  <c:v>0.39820787895183885</c:v>
                </c:pt>
                <c:pt idx="50">
                  <c:v>0.48360291518068477</c:v>
                </c:pt>
                <c:pt idx="51">
                  <c:v>0.54385308722678083</c:v>
                </c:pt>
                <c:pt idx="52">
                  <c:v>0.42694904722570792</c:v>
                </c:pt>
                <c:pt idx="53">
                  <c:v>0.46085451748433948</c:v>
                </c:pt>
                <c:pt idx="54">
                  <c:v>0.58128147433898569</c:v>
                </c:pt>
                <c:pt idx="55">
                  <c:v>0.44883121855311447</c:v>
                </c:pt>
                <c:pt idx="56">
                  <c:v>0.39914400442103715</c:v>
                </c:pt>
                <c:pt idx="57">
                  <c:v>0.39466362520599652</c:v>
                </c:pt>
                <c:pt idx="58">
                  <c:v>0.47855467523424527</c:v>
                </c:pt>
                <c:pt idx="59">
                  <c:v>0.46999624335956391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D-4176-BB93-4D418F36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020448"/>
        <c:axId val="457795984"/>
      </c:scatterChart>
      <c:valAx>
        <c:axId val="454020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95984"/>
        <c:crosses val="autoZero"/>
        <c:crossBetween val="midCat"/>
        <c:majorUnit val="1"/>
      </c:valAx>
      <c:valAx>
        <c:axId val="45779598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2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Max Proba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Sheet2!$D$2:$D$61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xVal>
          <c:yVal>
            <c:numRef>
              <c:f>Sheet2!$E$2:$E$61</c:f>
              <c:numCache>
                <c:formatCode>General</c:formatCode>
                <c:ptCount val="60"/>
                <c:pt idx="0">
                  <c:v>0.26616096623401603</c:v>
                </c:pt>
                <c:pt idx="1">
                  <c:v>0.26625665743431698</c:v>
                </c:pt>
                <c:pt idx="2">
                  <c:v>0.273074474289005</c:v>
                </c:pt>
                <c:pt idx="3">
                  <c:v>0.27318368800963799</c:v>
                </c:pt>
                <c:pt idx="4">
                  <c:v>0.29383887036080297</c:v>
                </c:pt>
                <c:pt idx="5">
                  <c:v>0.29952434125183203</c:v>
                </c:pt>
                <c:pt idx="6">
                  <c:v>0.30079248446676199</c:v>
                </c:pt>
                <c:pt idx="7">
                  <c:v>0.30264695083055498</c:v>
                </c:pt>
                <c:pt idx="8">
                  <c:v>0.30578924631509402</c:v>
                </c:pt>
                <c:pt idx="9">
                  <c:v>0.30669161897408198</c:v>
                </c:pt>
                <c:pt idx="10">
                  <c:v>0.30983173188021501</c:v>
                </c:pt>
                <c:pt idx="11">
                  <c:v>0.31028752190533798</c:v>
                </c:pt>
                <c:pt idx="12">
                  <c:v>0.31236200173079998</c:v>
                </c:pt>
                <c:pt idx="13">
                  <c:v>0.31513621467993003</c:v>
                </c:pt>
                <c:pt idx="14">
                  <c:v>0.31670175758617197</c:v>
                </c:pt>
                <c:pt idx="15">
                  <c:v>0.319082644425222</c:v>
                </c:pt>
                <c:pt idx="16">
                  <c:v>0.33666593368013797</c:v>
                </c:pt>
                <c:pt idx="17">
                  <c:v>0.33868056948148301</c:v>
                </c:pt>
                <c:pt idx="18">
                  <c:v>0.33967737531686898</c:v>
                </c:pt>
                <c:pt idx="19">
                  <c:v>0.360725993735245</c:v>
                </c:pt>
                <c:pt idx="20">
                  <c:v>0.36713397986806801</c:v>
                </c:pt>
                <c:pt idx="21">
                  <c:v>0.367294497320938</c:v>
                </c:pt>
                <c:pt idx="22">
                  <c:v>0.37467158909293102</c:v>
                </c:pt>
                <c:pt idx="23">
                  <c:v>0.27125581312792002</c:v>
                </c:pt>
                <c:pt idx="24">
                  <c:v>0.27717940434194399</c:v>
                </c:pt>
                <c:pt idx="25">
                  <c:v>0.29504889381838301</c:v>
                </c:pt>
                <c:pt idx="26">
                  <c:v>0.29866342647369698</c:v>
                </c:pt>
                <c:pt idx="27">
                  <c:v>0.30154779293817202</c:v>
                </c:pt>
                <c:pt idx="28">
                  <c:v>0.30293430085148199</c:v>
                </c:pt>
                <c:pt idx="29">
                  <c:v>0.31005870317567102</c:v>
                </c:pt>
                <c:pt idx="30">
                  <c:v>0.31050553553628601</c:v>
                </c:pt>
                <c:pt idx="31">
                  <c:v>0.32296654180199003</c:v>
                </c:pt>
                <c:pt idx="32">
                  <c:v>0.32816778056378498</c:v>
                </c:pt>
                <c:pt idx="33">
                  <c:v>0.33019574746639302</c:v>
                </c:pt>
                <c:pt idx="34">
                  <c:v>0.33117498463170397</c:v>
                </c:pt>
                <c:pt idx="35">
                  <c:v>0.33898511272642201</c:v>
                </c:pt>
                <c:pt idx="36">
                  <c:v>0.35911994030210698</c:v>
                </c:pt>
                <c:pt idx="37">
                  <c:v>0.36140655930986298</c:v>
                </c:pt>
                <c:pt idx="38">
                  <c:v>0.36451605069739601</c:v>
                </c:pt>
                <c:pt idx="39">
                  <c:v>0.36607481946979398</c:v>
                </c:pt>
                <c:pt idx="40">
                  <c:v>0.36631252856573199</c:v>
                </c:pt>
                <c:pt idx="41">
                  <c:v>0.36643377260855398</c:v>
                </c:pt>
                <c:pt idx="42">
                  <c:v>0.36658491010413202</c:v>
                </c:pt>
                <c:pt idx="43">
                  <c:v>0.368953927907132</c:v>
                </c:pt>
                <c:pt idx="44">
                  <c:v>0.37886013499276999</c:v>
                </c:pt>
                <c:pt idx="45">
                  <c:v>0.383572130095299</c:v>
                </c:pt>
                <c:pt idx="46">
                  <c:v>0.40128670053320697</c:v>
                </c:pt>
                <c:pt idx="47">
                  <c:v>0.40739831453913</c:v>
                </c:pt>
                <c:pt idx="48">
                  <c:v>0.416725726793234</c:v>
                </c:pt>
                <c:pt idx="49">
                  <c:v>0.42088877533700497</c:v>
                </c:pt>
                <c:pt idx="50">
                  <c:v>0.45040976446463898</c:v>
                </c:pt>
                <c:pt idx="51">
                  <c:v>0.46131274991004201</c:v>
                </c:pt>
                <c:pt idx="52">
                  <c:v>0.47651337632810697</c:v>
                </c:pt>
                <c:pt idx="53">
                  <c:v>0.47773743271082098</c:v>
                </c:pt>
                <c:pt idx="54">
                  <c:v>0.491574621464266</c:v>
                </c:pt>
                <c:pt idx="55">
                  <c:v>0.50105091179191896</c:v>
                </c:pt>
                <c:pt idx="56">
                  <c:v>0.51835065235535105</c:v>
                </c:pt>
                <c:pt idx="57">
                  <c:v>0.52772792664137003</c:v>
                </c:pt>
                <c:pt idx="58">
                  <c:v>0.53374100100517397</c:v>
                </c:pt>
                <c:pt idx="59">
                  <c:v>0.58161392250765798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A-4644-9317-AA0B57DB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5680"/>
        <c:axId val="39939376"/>
      </c:scatterChart>
      <c:valAx>
        <c:axId val="88895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9376"/>
        <c:crosses val="autoZero"/>
        <c:crossBetween val="midCat"/>
        <c:majorUnit val="1"/>
      </c:valAx>
      <c:valAx>
        <c:axId val="39939376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295274</xdr:colOff>
      <xdr:row>62</xdr:row>
      <xdr:rowOff>176212</xdr:rowOff>
    </xdr:from>
    <xdr:to>
      <xdr:col>56</xdr:col>
      <xdr:colOff>209549</xdr:colOff>
      <xdr:row>77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2AB74-74F9-C4B0-BB11-F670EB733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252412</xdr:colOff>
      <xdr:row>4</xdr:row>
      <xdr:rowOff>61912</xdr:rowOff>
    </xdr:from>
    <xdr:to>
      <xdr:col>19</xdr:col>
      <xdr:colOff>557212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60D2A-74A3-E50E-6F1C-2BFD1EF77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27B1-516B-4055-9FC6-DC30CDA5D6B1}">
  <dimension ref="A1:CE86"/>
  <sheetViews>
    <sheetView tabSelected="1" zoomScaleNormal="100" workbookViewId="0">
      <selection activeCell="O3" sqref="O3:O62"/>
    </sheetView>
  </sheetViews>
  <sheetFormatPr defaultRowHeight="15" x14ac:dyDescent="0.25"/>
  <cols>
    <col min="1" max="1" width="44.42578125" customWidth="1"/>
    <col min="2" max="2" width="8.42578125" bestFit="1" customWidth="1"/>
    <col min="3" max="3" width="10" bestFit="1" customWidth="1"/>
    <col min="4" max="4" width="11.7109375" bestFit="1" customWidth="1"/>
    <col min="5" max="6" width="20" bestFit="1" customWidth="1"/>
    <col min="7" max="7" width="13.5703125" bestFit="1" customWidth="1"/>
    <col min="8" max="9" width="12" bestFit="1" customWidth="1"/>
    <col min="10" max="10" width="13.140625" bestFit="1" customWidth="1"/>
    <col min="11" max="11" width="12.7109375" bestFit="1" customWidth="1"/>
    <col min="12" max="12" width="13.140625" bestFit="1" customWidth="1"/>
    <col min="13" max="14" width="10.5703125" bestFit="1" customWidth="1"/>
    <col min="15" max="15" width="10.5703125" customWidth="1"/>
    <col min="17" max="17" width="22.5703125" bestFit="1" customWidth="1"/>
  </cols>
  <sheetData>
    <row r="1" spans="1:83" x14ac:dyDescent="0.25">
      <c r="S1" t="s">
        <v>92</v>
      </c>
      <c r="AD1" t="s">
        <v>91</v>
      </c>
      <c r="AK1" t="s">
        <v>116</v>
      </c>
      <c r="AY1" t="s">
        <v>117</v>
      </c>
      <c r="BF1" t="s">
        <v>93</v>
      </c>
      <c r="BX1" t="s">
        <v>95</v>
      </c>
    </row>
    <row r="2" spans="1:83" x14ac:dyDescent="0.25">
      <c r="A2" t="s">
        <v>0</v>
      </c>
      <c r="B2" t="s">
        <v>1</v>
      </c>
      <c r="C2" t="s">
        <v>4</v>
      </c>
      <c r="D2" t="s">
        <v>5</v>
      </c>
      <c r="E2" t="s">
        <v>78</v>
      </c>
      <c r="F2" t="s">
        <v>79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S2" t="s">
        <v>81</v>
      </c>
      <c r="T2" t="s">
        <v>24</v>
      </c>
      <c r="U2" t="s">
        <v>17</v>
      </c>
      <c r="V2" t="s">
        <v>22</v>
      </c>
      <c r="X2" t="s">
        <v>82</v>
      </c>
      <c r="Y2" t="s">
        <v>24</v>
      </c>
      <c r="Z2" t="s">
        <v>17</v>
      </c>
      <c r="AA2" t="s">
        <v>22</v>
      </c>
      <c r="AD2" t="s">
        <v>3</v>
      </c>
      <c r="AE2" t="s">
        <v>24</v>
      </c>
      <c r="AF2" t="s">
        <v>17</v>
      </c>
      <c r="AG2" t="s">
        <v>22</v>
      </c>
      <c r="AK2" t="s">
        <v>3</v>
      </c>
      <c r="AL2" t="s">
        <v>24</v>
      </c>
      <c r="AM2" t="s">
        <v>17</v>
      </c>
      <c r="AN2" t="s">
        <v>22</v>
      </c>
      <c r="AQ2" t="s">
        <v>3</v>
      </c>
      <c r="AR2" t="s">
        <v>24</v>
      </c>
      <c r="AS2" t="s">
        <v>17</v>
      </c>
      <c r="AT2" t="s">
        <v>22</v>
      </c>
      <c r="AW2" t="s">
        <v>119</v>
      </c>
      <c r="AX2" t="s">
        <v>118</v>
      </c>
      <c r="AZ2" t="s">
        <v>3</v>
      </c>
      <c r="BA2" t="s">
        <v>24</v>
      </c>
      <c r="BB2" t="s">
        <v>17</v>
      </c>
      <c r="BC2" t="s">
        <v>22</v>
      </c>
      <c r="BF2" t="s">
        <v>3</v>
      </c>
      <c r="BG2" t="s">
        <v>24</v>
      </c>
      <c r="BH2" t="s">
        <v>17</v>
      </c>
      <c r="BI2" t="s">
        <v>22</v>
      </c>
      <c r="BO2" t="s">
        <v>81</v>
      </c>
      <c r="BP2" t="s">
        <v>24</v>
      </c>
      <c r="BQ2" t="s">
        <v>17</v>
      </c>
      <c r="BR2" t="s">
        <v>22</v>
      </c>
      <c r="BS2" t="s">
        <v>82</v>
      </c>
      <c r="BT2" t="s">
        <v>24</v>
      </c>
      <c r="BU2" t="s">
        <v>17</v>
      </c>
      <c r="BV2" t="s">
        <v>22</v>
      </c>
      <c r="BX2" t="s">
        <v>81</v>
      </c>
      <c r="BY2" t="s">
        <v>24</v>
      </c>
      <c r="BZ2" t="s">
        <v>17</v>
      </c>
      <c r="CA2" t="s">
        <v>22</v>
      </c>
      <c r="CB2" t="s">
        <v>82</v>
      </c>
      <c r="CC2" t="s">
        <v>24</v>
      </c>
      <c r="CD2" t="s">
        <v>17</v>
      </c>
      <c r="CE2" t="s">
        <v>22</v>
      </c>
    </row>
    <row r="3" spans="1:83" x14ac:dyDescent="0.25">
      <c r="A3" t="s">
        <v>2</v>
      </c>
      <c r="B3" s="6" t="s">
        <v>3</v>
      </c>
      <c r="C3" t="s">
        <v>3</v>
      </c>
      <c r="D3" t="s">
        <v>15</v>
      </c>
      <c r="E3" t="s">
        <v>3</v>
      </c>
      <c r="F3" t="s">
        <v>24</v>
      </c>
      <c r="G3" s="2">
        <v>0.27125581312792002</v>
      </c>
      <c r="H3" s="2">
        <v>0.27009460046772199</v>
      </c>
      <c r="I3" s="3">
        <v>0.22060160326234099</v>
      </c>
      <c r="J3" s="3">
        <v>0.238047983142016</v>
      </c>
      <c r="K3" s="3">
        <v>0.25051653110035599</v>
      </c>
      <c r="L3" s="3">
        <v>0.26302925880588301</v>
      </c>
      <c r="M3" s="3">
        <v>0.22634749464964299</v>
      </c>
      <c r="N3" s="3">
        <v>0.26010671544411501</v>
      </c>
      <c r="O3" s="11">
        <f>MAX(G3:J3)</f>
        <v>0.27125581312792002</v>
      </c>
      <c r="Q3">
        <f t="shared" ref="Q3:Q34" si="0">IF(R3=B3,1,0)</f>
        <v>1</v>
      </c>
      <c r="R3" t="str" cm="1">
        <f t="array" ref="R3">_xlfn.IFS(S3=MAX(S3:V3),"road",T3=MAX(S3:V3),"safety",U3=MAX(S3:V3),"waste",V3=MAX(S3:V3),"water")</f>
        <v>road</v>
      </c>
      <c r="S3" s="1">
        <f>G3*G$85</f>
        <v>0.21248372028353735</v>
      </c>
      <c r="T3" s="1">
        <f t="shared" ref="T3:V3" si="1">H3*H$85</f>
        <v>0.19356779700186744</v>
      </c>
      <c r="U3" s="1">
        <f t="shared" si="1"/>
        <v>0.16912789583446142</v>
      </c>
      <c r="V3" s="1">
        <f t="shared" si="1"/>
        <v>0.17456852097081174</v>
      </c>
      <c r="W3" s="1"/>
      <c r="X3" s="1">
        <f>K3*K$85</f>
        <v>0.22128960247198112</v>
      </c>
      <c r="Y3" s="1">
        <f>L3*L$85</f>
        <v>0.19727194410441226</v>
      </c>
      <c r="Z3" s="1">
        <f>M3*M$85</f>
        <v>0.15089832976642867</v>
      </c>
      <c r="AA3" s="1">
        <f>N3*N$85</f>
        <v>0.18207470081088051</v>
      </c>
      <c r="AB3" s="8">
        <f t="shared" ref="AB3:AB34" si="2">IF(AC3=B3,1,0)</f>
        <v>1</v>
      </c>
      <c r="AC3" t="str" cm="1">
        <f t="array" ref="AC3">_xlfn.IFS(AD3=MAX(AD3:AG3),"road",AE3=MAX(AD3:AG3),"safety",AF3=MAX(AD3:AG3),"waste",AG3=MAX(AD3:AG3),"water")</f>
        <v>road</v>
      </c>
      <c r="AD3" s="1">
        <f>SUM(S3*Q66,X3)</f>
        <v>0.44591524962886353</v>
      </c>
      <c r="AE3" s="1">
        <f>SUM(T3*R66,Y3)</f>
        <v>0.19727194410441226</v>
      </c>
      <c r="AF3" s="1">
        <f>SUM(U3*S66,Z3)</f>
        <v>0.15089832976642867</v>
      </c>
      <c r="AG3" s="1">
        <f>SUM(V3*T66,AA3)</f>
        <v>0.18207470081088051</v>
      </c>
      <c r="AI3" s="8">
        <f t="shared" ref="AI3:AI34" si="3">IF(AJ3=B3,1,0)</f>
        <v>1</v>
      </c>
      <c r="AJ3" t="str" cm="1">
        <f t="array" ref="AJ3">_xlfn.IFS(AK3=MAX(AK3:AN3),"road",AL3=MAX(AK3:AN3),"safety",AM3=MAX(AK3:AN3),"waste",AN3=MAX(AK3:AN3),"water")</f>
        <v>road</v>
      </c>
      <c r="AK3" s="2">
        <f>(G3*G$85)*G$86</f>
        <v>0.19477674359324257</v>
      </c>
      <c r="AL3" s="2">
        <f>(H3*H$85)*H$86</f>
        <v>0.16775875740161844</v>
      </c>
      <c r="AM3" s="2">
        <f>(I3*I$85)*I$86</f>
        <v>0.13812111493147683</v>
      </c>
      <c r="AN3" s="2">
        <f>(J3*J$85)*J$86</f>
        <v>0.13674534142713587</v>
      </c>
      <c r="AO3" s="8">
        <f>IF(AP3=$B3,1,0)</f>
        <v>1</v>
      </c>
      <c r="AP3" t="str" cm="1">
        <f t="array" ref="AP3">_xlfn.IFS(AQ3=MAX(AQ3:AT3),"road",AR3=MAX(AQ3:AT3),"safety",AS3=MAX(AQ3:AT3),"waste",AT3=MAX(AQ3:AT3),"water")</f>
        <v>road</v>
      </c>
      <c r="AQ3" s="2">
        <f>(K3*K$85)*K$86</f>
        <v>0.20653696230718238</v>
      </c>
      <c r="AR3" s="2">
        <f>(L3*L$85)*L$86</f>
        <v>0.17754474969397105</v>
      </c>
      <c r="AS3" s="2">
        <f>(M3*M$85)*M$86</f>
        <v>0.12323363597591674</v>
      </c>
      <c r="AT3" s="2">
        <f>(N3*N$85)*N$86</f>
        <v>0.13959060395500839</v>
      </c>
      <c r="AU3" s="2"/>
      <c r="AW3" s="10">
        <f t="shared" ref="AW3:AW34" si="4">IF(AY3=B3,1,0)</f>
        <v>1</v>
      </c>
      <c r="AX3" s="2">
        <f t="shared" ref="AX3:AX34" si="5">MAX(AZ3:BC3)</f>
        <v>0.40131370590042492</v>
      </c>
      <c r="AY3" t="str" cm="1">
        <f t="array" ref="AY3">_xlfn.IFS(AZ3=MAX(AZ3:BC3),"road",BA3=MAX(AZ3:BC3),"safety",BB3=MAX(AZ3:BC3),"waste",BC3=MAX(AZ3:BC3),"water")</f>
        <v>road</v>
      </c>
      <c r="AZ3" s="2">
        <f>SUM(AK3,AQ3)</f>
        <v>0.40131370590042492</v>
      </c>
      <c r="BA3" s="2">
        <f>SUM(AL3,AR3)</f>
        <v>0.34530350709558949</v>
      </c>
      <c r="BB3" s="2">
        <f>SUM(AM3,AS3)</f>
        <v>0.26135475090739357</v>
      </c>
      <c r="BC3" s="2">
        <f>SUM(AN3,AT3)</f>
        <v>0.27633594538214423</v>
      </c>
      <c r="BD3" s="2"/>
      <c r="BF3" s="2">
        <f>G3+K3</f>
        <v>0.52177234422827601</v>
      </c>
      <c r="BG3" s="2">
        <f>H3+L3</f>
        <v>0.53312385927360495</v>
      </c>
      <c r="BH3" s="2">
        <f>I3+M3</f>
        <v>0.44694909791198401</v>
      </c>
      <c r="BI3" s="2">
        <f>J3+N3</f>
        <v>0.49815469858613104</v>
      </c>
      <c r="BK3" s="7">
        <f t="shared" ref="BK3:BK34" si="6">IF(BL3=B3,1,0)</f>
        <v>1</v>
      </c>
      <c r="BL3" t="str" cm="1">
        <f t="array" ref="BL3">_xlfn.IFS(BO3=MAX(BO3:BV3),"road",BR3=MAX(BO3:BV3),"water",BT3=MAX(BO3:BV3),"safety",BU3=MAX(BO3:BV3),"waste",BV3=MAX(BO3:BV3),"water")</f>
        <v>road</v>
      </c>
      <c r="BM3">
        <f t="shared" ref="BM3:BM34" si="7">IF(BN3=B3,1,0)</f>
        <v>1</v>
      </c>
      <c r="BN3" t="str" cm="1">
        <f t="array" ref="BN3">_xlfn.IFS(BO3=MAX(BO3:BR3),"road",BP3=MAX(BO3:BR3),"safety",BQ3=MAX(BO3:BR3),"waste",BR3=MAX(BO3:BR3),"water")</f>
        <v>road</v>
      </c>
      <c r="BO3" s="1">
        <f>G3/(G$64/120)</f>
        <v>2.5038998134884922</v>
      </c>
      <c r="BP3" s="1">
        <f>H3/(H$64/120)</f>
        <v>1.906550120948626</v>
      </c>
      <c r="BQ3" s="1">
        <f>I3/(I$64/120)</f>
        <v>1.8908708851057798</v>
      </c>
      <c r="BR3" s="1">
        <f>J3/(J$64/120)</f>
        <v>1.7853598735651199</v>
      </c>
      <c r="BS3" s="1">
        <f>K3/(K$64/$E$65)</f>
        <v>2.1472845522887654</v>
      </c>
      <c r="BT3" s="1">
        <f>L3/(L$64/$E$65)</f>
        <v>1.0521170352235321</v>
      </c>
      <c r="BU3" s="1">
        <f>M3/(M$64/$E$65)</f>
        <v>0.67904248394892897</v>
      </c>
      <c r="BV3" s="1">
        <f>N3/(N$64/$E$65)</f>
        <v>0.86702238481371674</v>
      </c>
      <c r="BX3" s="1"/>
      <c r="BY3" s="1"/>
      <c r="BZ3" s="1"/>
      <c r="CA3" s="1"/>
    </row>
    <row r="4" spans="1:83" x14ac:dyDescent="0.25">
      <c r="A4" t="s">
        <v>14</v>
      </c>
      <c r="B4" s="6" t="s">
        <v>3</v>
      </c>
      <c r="C4" t="s">
        <v>17</v>
      </c>
      <c r="D4" t="s">
        <v>18</v>
      </c>
      <c r="E4" t="s">
        <v>24</v>
      </c>
      <c r="F4" t="s">
        <v>17</v>
      </c>
      <c r="G4" s="3">
        <v>0.236147566232395</v>
      </c>
      <c r="H4" s="3">
        <v>0.27318368800963799</v>
      </c>
      <c r="I4" s="3">
        <v>0.25754064907791502</v>
      </c>
      <c r="J4" s="3">
        <v>0.23312809668005</v>
      </c>
      <c r="K4" s="3">
        <v>0.21727619087772901</v>
      </c>
      <c r="L4" s="3">
        <v>0.27234180884204401</v>
      </c>
      <c r="M4" s="3">
        <v>0.28794124209380001</v>
      </c>
      <c r="N4" s="3">
        <v>0.222440758186426</v>
      </c>
      <c r="O4" s="11">
        <f t="shared" ref="O4:O62" si="8">MAX(G4:J4)</f>
        <v>0.27318368800963799</v>
      </c>
      <c r="Q4">
        <f t="shared" si="0"/>
        <v>0</v>
      </c>
      <c r="R4" t="str" cm="1">
        <f t="array" ref="R4">_xlfn.IFS(S4=MAX(S4:V4),"road",T4=MAX(S4:V4),"safety",U4=MAX(S4:V4),"waste",V4=MAX(S4:V4),"water")</f>
        <v>waste</v>
      </c>
      <c r="S4" s="1">
        <f t="shared" ref="S4:S35" si="9">G4*G$85</f>
        <v>0.18498226021537609</v>
      </c>
      <c r="T4" s="1">
        <f t="shared" ref="T4:T36" si="10">H4*H$85</f>
        <v>0.1957816430735739</v>
      </c>
      <c r="U4" s="1">
        <f t="shared" ref="U4:U36" si="11">I4*I$85</f>
        <v>0.19744783095973484</v>
      </c>
      <c r="V4" s="1">
        <f t="shared" ref="V4:V36" si="12">J4*J$85</f>
        <v>0.17096060423203668</v>
      </c>
      <c r="W4" s="1"/>
      <c r="X4" s="1">
        <f t="shared" ref="X4:X36" si="13">K4*K$85</f>
        <v>0.19192730194199395</v>
      </c>
      <c r="Y4" s="1">
        <f t="shared" ref="Y4:Y36" si="14">L4*L$85</f>
        <v>0.20425635663153302</v>
      </c>
      <c r="Z4" s="1">
        <f t="shared" ref="Z4:Z36" si="15">M4*M$85</f>
        <v>0.19196082806253337</v>
      </c>
      <c r="AA4" s="1">
        <f t="shared" ref="AA4:AA36" si="16">N4*N$85</f>
        <v>0.1557085307304982</v>
      </c>
      <c r="AB4" s="8">
        <f t="shared" si="2"/>
        <v>0</v>
      </c>
      <c r="AC4" t="str" cm="1">
        <f t="array" ref="AC4">_xlfn.IFS(AD4=MAX(AD4:AG4),"road",AE4=MAX(AD4:AG4),"safety",AF4=MAX(AD4:AG4),"waste",AG4=MAX(AD4:AG4),"water")</f>
        <v>safety</v>
      </c>
      <c r="AD4" s="1">
        <f>SUM(S4*Q67,X4)</f>
        <v>0.19192730194199395</v>
      </c>
      <c r="AE4" s="1">
        <f t="shared" ref="AE4:AE14" si="17">SUM(T4*R67,Y4)</f>
        <v>0.20425635663153302</v>
      </c>
      <c r="AF4" s="1">
        <f t="shared" ref="AF4:AF14" si="18">SUM(U4*S67,Z4)</f>
        <v>0.19196082806253337</v>
      </c>
      <c r="AG4" s="1">
        <f t="shared" ref="AG4:AG14" si="19">SUM(V4*T67,AA4)</f>
        <v>0.1557085307304982</v>
      </c>
      <c r="AI4" s="8">
        <f t="shared" si="3"/>
        <v>0</v>
      </c>
      <c r="AJ4" t="str" cm="1">
        <f t="array" ref="AJ4">_xlfn.IFS(AK4=MAX(AK4:AN4),"road",AL4=MAX(AK4:AN4),"safety",AM4=MAX(AK4:AN4),"waste",AN4=MAX(AK4:AN4),"water")</f>
        <v>safety</v>
      </c>
      <c r="AK4" s="2">
        <f>(G4*G$85)*G$86</f>
        <v>0.16956707186409475</v>
      </c>
      <c r="AL4" s="2">
        <f t="shared" ref="AL4:AL35" si="20">(H4*H$85)*H$86</f>
        <v>0.1696774239970974</v>
      </c>
      <c r="AM4" s="2">
        <f t="shared" ref="AM4:AM35" si="21">(I4*I$85)*I$86</f>
        <v>0.16124906195045011</v>
      </c>
      <c r="AN4" s="2">
        <f t="shared" ref="AN4:AN35" si="22">(J4*J$85)*J$86</f>
        <v>0.13391913998176208</v>
      </c>
      <c r="AO4" s="8">
        <f t="shared" ref="AO4:AO62" si="23">IF(AP4=$B4,1,0)</f>
        <v>0</v>
      </c>
      <c r="AP4" t="str" cm="1">
        <f t="array" ref="AP4">_xlfn.IFS(AQ4=MAX(AQ4:AT4),"road",AR4=MAX(AQ4:AT4),"safety",AS4=MAX(AQ4:AT4),"waste",AT4=MAX(AQ4:AT4),"water")</f>
        <v>safety</v>
      </c>
      <c r="AQ4" s="2">
        <f t="shared" ref="AQ4:AQ35" si="24">(K4*K$85)*K$86</f>
        <v>0.17913214847919437</v>
      </c>
      <c r="AR4" s="2">
        <f t="shared" ref="AR4:AR35" si="25">(L4*L$85)*L$86</f>
        <v>0.18383072096837971</v>
      </c>
      <c r="AS4" s="2">
        <f t="shared" ref="AS4:AS35" si="26">(M4*M$85)*M$86</f>
        <v>0.15676800958440223</v>
      </c>
      <c r="AT4" s="2">
        <f t="shared" ref="AT4:AT35" si="27">(N4*N$85)*N$86</f>
        <v>0.11937654022671527</v>
      </c>
      <c r="AU4" s="2"/>
      <c r="AW4" s="10">
        <f t="shared" si="4"/>
        <v>0</v>
      </c>
      <c r="AX4" s="2">
        <f t="shared" si="5"/>
        <v>0.35350814496547711</v>
      </c>
      <c r="AY4" t="str" cm="1">
        <f t="array" ref="AY4">_xlfn.IFS(AZ4=MAX(AZ4:BC4),"road",BA4=MAX(AZ4:BC4),"safety",BB4=MAX(AZ4:BC4),"waste",BC4=MAX(AZ4:BC4),"water")</f>
        <v>safety</v>
      </c>
      <c r="AZ4" s="2">
        <f t="shared" ref="AZ4:AZ62" si="28">SUM(AK4,AQ4)</f>
        <v>0.34869922034328915</v>
      </c>
      <c r="BA4" s="2">
        <f t="shared" ref="BA4:BA62" si="29">SUM(AL4,AR4)</f>
        <v>0.35350814496547711</v>
      </c>
      <c r="BB4" s="2">
        <f t="shared" ref="BB4:BB62" si="30">SUM(AM4,AS4)</f>
        <v>0.31801707153485237</v>
      </c>
      <c r="BC4" s="2">
        <f t="shared" ref="BC4:BC62" si="31">SUM(AN4,AT4)</f>
        <v>0.25329568020847737</v>
      </c>
      <c r="BD4" s="2"/>
      <c r="BF4" s="2">
        <f t="shared" ref="BF4:BF62" si="32">G4+K4</f>
        <v>0.453423757110124</v>
      </c>
      <c r="BG4" s="2">
        <f t="shared" ref="BG4:BG62" si="33">H4+L4</f>
        <v>0.54552549685168206</v>
      </c>
      <c r="BH4" s="2">
        <f t="shared" ref="BH4:BH62" si="34">I4+M4</f>
        <v>0.54548189117171497</v>
      </c>
      <c r="BI4" s="2">
        <f t="shared" ref="BI4:BI62" si="35">J4+N4</f>
        <v>0.45556885486647603</v>
      </c>
      <c r="BK4" s="7" t="e">
        <f t="shared" si="6"/>
        <v>#N/A</v>
      </c>
      <c r="BL4" t="e" cm="1">
        <f t="array" ref="BL4">_xlfn.IFS(BO4=MAX(BO4:BV4),"road",BR4=MAX(BO4:BV4),"water",BT4=MAX(BO4:BV4),"safety",BU4=MAX(BO4:BV4),"waste",BV4=MAX(BO4:BV4),"water")</f>
        <v>#N/A</v>
      </c>
      <c r="BM4">
        <f t="shared" si="7"/>
        <v>0</v>
      </c>
      <c r="BN4" t="str" cm="1">
        <f t="array" ref="BN4">_xlfn.IFS(BO4=MAX(BO4:BR4),"road",BP4=MAX(BO4:BR4),"safety",BQ4=MAX(BO4:BR4),"waste",BR4=MAX(BO4:BR4),"water")</f>
        <v>waste</v>
      </c>
      <c r="BO4" s="1">
        <f t="shared" ref="BO4:BO62" si="36">G4/(G$64/120)</f>
        <v>2.1798236882990305</v>
      </c>
      <c r="BP4" s="1">
        <f t="shared" ref="BP4:BP62" si="37">H4/(H$64/120)</f>
        <v>1.9283554447739153</v>
      </c>
      <c r="BQ4" s="1">
        <f t="shared" ref="BQ4:BQ62" si="38">I4/(I$64/120)</f>
        <v>2.2074912778107003</v>
      </c>
      <c r="BR4" s="1">
        <f t="shared" ref="BR4:BR62" si="39">J4/(J$64/120)</f>
        <v>1.748460725100375</v>
      </c>
      <c r="BS4" s="1">
        <f t="shared" ref="BS4:BS62" si="40">K4/(K$64/$E$65)</f>
        <v>1.8623673503805342</v>
      </c>
      <c r="BT4" s="1">
        <f t="shared" ref="BT4:BT62" si="41">L4/(L$64/$E$65)</f>
        <v>1.089367235368176</v>
      </c>
      <c r="BU4" s="1">
        <f t="shared" ref="BU4:BU62" si="42">M4/(M$64/$E$65)</f>
        <v>0.86382372628140003</v>
      </c>
      <c r="BV4" s="1">
        <f t="shared" ref="BV4:BV62" si="43">N4/(N$64/$E$65)</f>
        <v>0.74146919395475341</v>
      </c>
      <c r="BX4" s="1"/>
      <c r="BY4" s="1"/>
      <c r="BZ4" s="1"/>
      <c r="CA4" s="1"/>
    </row>
    <row r="5" spans="1:83" x14ac:dyDescent="0.25">
      <c r="A5" t="s">
        <v>16</v>
      </c>
      <c r="B5" s="6" t="s">
        <v>3</v>
      </c>
      <c r="C5" t="s">
        <v>3</v>
      </c>
      <c r="D5" t="s">
        <v>15</v>
      </c>
      <c r="E5" t="s">
        <v>3</v>
      </c>
      <c r="F5" t="s">
        <v>3</v>
      </c>
      <c r="G5" s="3">
        <v>0.32296654180199003</v>
      </c>
      <c r="H5" s="3">
        <v>0.243234248085857</v>
      </c>
      <c r="I5" s="3">
        <v>0.23059598959800001</v>
      </c>
      <c r="J5" s="3">
        <v>0.20320322051415099</v>
      </c>
      <c r="K5" s="3">
        <v>0.31536209095783602</v>
      </c>
      <c r="L5" s="3">
        <v>0.22824987152764001</v>
      </c>
      <c r="M5" s="3">
        <v>0.22870312350936101</v>
      </c>
      <c r="N5" s="3">
        <v>0.227684914005162</v>
      </c>
      <c r="O5" s="11">
        <f t="shared" si="8"/>
        <v>0.32296654180199003</v>
      </c>
      <c r="Q5">
        <f t="shared" si="0"/>
        <v>1</v>
      </c>
      <c r="R5" t="str" cm="1">
        <f t="array" ref="R5">_xlfn.IFS(S5=MAX(S5:V5),"road",T5=MAX(S5:V5),"safety",U5=MAX(S5:V5),"waste",V5=MAX(S5:V5),"water")</f>
        <v>road</v>
      </c>
      <c r="S5" s="1">
        <f t="shared" si="9"/>
        <v>0.25299045774489221</v>
      </c>
      <c r="T5" s="1">
        <f t="shared" si="10"/>
        <v>0.17431787779486418</v>
      </c>
      <c r="U5" s="1">
        <f t="shared" si="11"/>
        <v>0.17679025869179998</v>
      </c>
      <c r="V5" s="1">
        <f t="shared" si="12"/>
        <v>0.14901569504371073</v>
      </c>
      <c r="W5" s="1"/>
      <c r="X5" s="1">
        <f t="shared" si="13"/>
        <v>0.27856984701275511</v>
      </c>
      <c r="Y5" s="1">
        <f t="shared" si="14"/>
        <v>0.17118740364573001</v>
      </c>
      <c r="Z5" s="1">
        <f t="shared" si="15"/>
        <v>0.15246874900624069</v>
      </c>
      <c r="AA5" s="1">
        <f t="shared" si="16"/>
        <v>0.15937943980361338</v>
      </c>
      <c r="AB5" s="8">
        <f t="shared" si="2"/>
        <v>1</v>
      </c>
      <c r="AC5" t="str" cm="1">
        <f t="array" ref="AC5">_xlfn.IFS(AD5=MAX(AD5:AG5),"road",AE5=MAX(AD5:AG5),"safety",AF5=MAX(AD5:AG5),"waste",AG5=MAX(AD5:AG5),"water")</f>
        <v>road</v>
      </c>
      <c r="AD5" s="1">
        <f t="shared" ref="AD5:AD13" si="44">SUM(S5*Q68,X5)</f>
        <v>0.27856984701275511</v>
      </c>
      <c r="AE5" s="1">
        <f t="shared" si="17"/>
        <v>0.17118740364573001</v>
      </c>
      <c r="AF5" s="1">
        <f t="shared" si="18"/>
        <v>0.15246874900624069</v>
      </c>
      <c r="AG5" s="1">
        <f t="shared" si="19"/>
        <v>0.15937943980361338</v>
      </c>
      <c r="AI5" s="8">
        <f t="shared" si="3"/>
        <v>1</v>
      </c>
      <c r="AJ5" t="str" cm="1">
        <f t="array" ref="AJ5">_xlfn.IFS(AK5=MAX(AK5:AN5),"road",AL5=MAX(AK5:AN5),"safety",AM5=MAX(AK5:AN5),"waste",AN5=MAX(AK5:AN5),"water")</f>
        <v>road</v>
      </c>
      <c r="AK5" s="2">
        <f t="shared" ref="AK5:AK34" si="45">(G5*G$85)*G$86</f>
        <v>0.23190791959948451</v>
      </c>
      <c r="AL5" s="2">
        <f t="shared" si="20"/>
        <v>0.1510754940888823</v>
      </c>
      <c r="AM5" s="2">
        <f t="shared" si="21"/>
        <v>0.14437871126496998</v>
      </c>
      <c r="AN5" s="2">
        <f t="shared" si="22"/>
        <v>0.1167289611175734</v>
      </c>
      <c r="AO5" s="8">
        <f t="shared" si="23"/>
        <v>1</v>
      </c>
      <c r="AP5" t="str" cm="1">
        <f t="array" ref="AP5">_xlfn.IFS(AQ5=MAX(AQ5:AT5),"road",AR5=MAX(AQ5:AT5),"safety",AS5=MAX(AQ5:AT5),"waste",AT5=MAX(AQ5:AT5),"water")</f>
        <v>road</v>
      </c>
      <c r="AQ5" s="2">
        <f t="shared" si="24"/>
        <v>0.25999852387857142</v>
      </c>
      <c r="AR5" s="2">
        <f t="shared" si="25"/>
        <v>0.15406866328115701</v>
      </c>
      <c r="AS5" s="2">
        <f t="shared" si="26"/>
        <v>0.12451614502176322</v>
      </c>
      <c r="AT5" s="2">
        <f t="shared" si="27"/>
        <v>0.12219090384943691</v>
      </c>
      <c r="AU5" s="2"/>
      <c r="AW5" s="10">
        <f t="shared" si="4"/>
        <v>1</v>
      </c>
      <c r="AX5" s="2">
        <f t="shared" si="5"/>
        <v>0.4919064434780559</v>
      </c>
      <c r="AY5" t="str" cm="1">
        <f t="array" ref="AY5">_xlfn.IFS(AZ5=MAX(AZ5:BC5),"road",BA5=MAX(AZ5:BC5),"safety",BB5=MAX(AZ5:BC5),"waste",BC5=MAX(AZ5:BC5),"water")</f>
        <v>road</v>
      </c>
      <c r="AZ5" s="2">
        <f t="shared" si="28"/>
        <v>0.4919064434780559</v>
      </c>
      <c r="BA5" s="2">
        <f t="shared" si="29"/>
        <v>0.3051441573700393</v>
      </c>
      <c r="BB5" s="2">
        <f t="shared" si="30"/>
        <v>0.26889485628673321</v>
      </c>
      <c r="BC5" s="2">
        <f t="shared" si="31"/>
        <v>0.23891986496701031</v>
      </c>
      <c r="BD5" s="2"/>
      <c r="BF5" s="2">
        <f t="shared" si="32"/>
        <v>0.6383286327598261</v>
      </c>
      <c r="BG5" s="2">
        <f t="shared" si="33"/>
        <v>0.47148411961349701</v>
      </c>
      <c r="BH5" s="2">
        <f t="shared" si="34"/>
        <v>0.45929911310736105</v>
      </c>
      <c r="BI5" s="2">
        <f t="shared" si="35"/>
        <v>0.43088813451931296</v>
      </c>
      <c r="BK5" s="7">
        <f t="shared" si="6"/>
        <v>1</v>
      </c>
      <c r="BL5" t="str" cm="1">
        <f t="array" ref="BL5">_xlfn.IFS(BO5=MAX(BO5:BV5),"road",BR5=MAX(BO5:BV5),"water",BT5=MAX(BO5:BV5),"safety",BU5=MAX(BO5:BV5),"waste",BV5=MAX(BO5:BV5),"water")</f>
        <v>road</v>
      </c>
      <c r="BM5">
        <f t="shared" si="7"/>
        <v>1</v>
      </c>
      <c r="BN5" t="str" cm="1">
        <f t="array" ref="BN5">_xlfn.IFS(BO5=MAX(BO5:BR5),"road",BP5=MAX(BO5:BR5),"safety",BQ5=MAX(BO5:BR5),"waste",BR5=MAX(BO5:BR5),"water")</f>
        <v>road</v>
      </c>
      <c r="BO5" s="1">
        <f t="shared" si="36"/>
        <v>2.9812296166337542</v>
      </c>
      <c r="BP5" s="1">
        <f t="shared" si="37"/>
        <v>1.716947633547226</v>
      </c>
      <c r="BQ5" s="1">
        <f t="shared" si="38"/>
        <v>1.9765370536971429</v>
      </c>
      <c r="BR5" s="1">
        <f t="shared" si="39"/>
        <v>1.5240241538561325</v>
      </c>
      <c r="BS5" s="1">
        <f>K5/(K$64/$E$65)</f>
        <v>2.7031036367814516</v>
      </c>
      <c r="BT5" s="1">
        <f t="shared" si="41"/>
        <v>0.91299948611056003</v>
      </c>
      <c r="BU5" s="1">
        <f t="shared" si="42"/>
        <v>0.68610937052808307</v>
      </c>
      <c r="BV5" s="1">
        <f t="shared" si="43"/>
        <v>0.75894971335054007</v>
      </c>
      <c r="BX5" s="1"/>
      <c r="BY5" s="1"/>
      <c r="BZ5" s="1"/>
      <c r="CA5" s="1"/>
    </row>
    <row r="6" spans="1:83" x14ac:dyDescent="0.25">
      <c r="A6" t="s">
        <v>19</v>
      </c>
      <c r="B6" s="6" t="s">
        <v>3</v>
      </c>
      <c r="C6" t="s">
        <v>3</v>
      </c>
      <c r="D6" t="s">
        <v>15</v>
      </c>
      <c r="E6" t="s">
        <v>3</v>
      </c>
      <c r="F6" t="s">
        <v>3</v>
      </c>
      <c r="G6" s="3">
        <v>0.29866342647369698</v>
      </c>
      <c r="H6" s="3">
        <v>0.28161220373461399</v>
      </c>
      <c r="I6" s="3">
        <v>0.20679452155985401</v>
      </c>
      <c r="J6" s="3">
        <v>0.212929848231833</v>
      </c>
      <c r="K6" s="2">
        <v>0.28041326485993001</v>
      </c>
      <c r="L6" s="3">
        <v>0.250519133426721</v>
      </c>
      <c r="M6" s="3">
        <v>0.21645310316380301</v>
      </c>
      <c r="N6" s="3">
        <v>0.25261449854954399</v>
      </c>
      <c r="O6" s="11">
        <f t="shared" si="8"/>
        <v>0.29866342647369698</v>
      </c>
      <c r="Q6">
        <f t="shared" si="0"/>
        <v>1</v>
      </c>
      <c r="R6" t="str" cm="1">
        <f t="array" ref="R6">_xlfn.IFS(S6=MAX(S6:V6),"road",T6=MAX(S6:V6),"safety",U6=MAX(S6:V6),"waste",V6=MAX(S6:V6),"water")</f>
        <v>road</v>
      </c>
      <c r="S6" s="1">
        <f t="shared" si="9"/>
        <v>0.23395301740439597</v>
      </c>
      <c r="T6" s="1">
        <f t="shared" si="10"/>
        <v>0.20182207934314003</v>
      </c>
      <c r="U6" s="1">
        <f t="shared" si="11"/>
        <v>0.15854246652922138</v>
      </c>
      <c r="V6" s="1">
        <f t="shared" si="12"/>
        <v>0.15614855537001088</v>
      </c>
      <c r="W6" s="1"/>
      <c r="X6" s="1">
        <f t="shared" si="13"/>
        <v>0.24769838395960483</v>
      </c>
      <c r="Y6" s="1">
        <f t="shared" si="14"/>
        <v>0.18788935007004076</v>
      </c>
      <c r="Z6" s="1">
        <f t="shared" si="15"/>
        <v>0.14430206877586868</v>
      </c>
      <c r="AA6" s="1">
        <f t="shared" si="16"/>
        <v>0.17683014898468077</v>
      </c>
      <c r="AB6" s="8">
        <f t="shared" si="2"/>
        <v>1</v>
      </c>
      <c r="AC6" t="str" cm="1">
        <f t="array" ref="AC6">_xlfn.IFS(AD6=MAX(AD6:AG6),"road",AE6=MAX(AD6:AG6),"safety",AF6=MAX(AD6:AG6),"waste",AG6=MAX(AD6:AG6),"water")</f>
        <v>road</v>
      </c>
      <c r="AD6" s="1">
        <f t="shared" si="44"/>
        <v>0.24769838395960483</v>
      </c>
      <c r="AE6" s="1">
        <f t="shared" si="17"/>
        <v>0.18788935007004076</v>
      </c>
      <c r="AF6" s="1">
        <f t="shared" si="18"/>
        <v>0.14430206877586868</v>
      </c>
      <c r="AG6" s="1">
        <f t="shared" si="19"/>
        <v>0.17683014898468077</v>
      </c>
      <c r="AI6" s="8">
        <f t="shared" si="3"/>
        <v>1</v>
      </c>
      <c r="AJ6" t="str" cm="1">
        <f t="array" ref="AJ6">_xlfn.IFS(AK6=MAX(AK6:AN6),"road",AL6=MAX(AK6:AN6),"safety",AM6=MAX(AK6:AN6),"waste",AN6=MAX(AK6:AN6),"water")</f>
        <v>road</v>
      </c>
      <c r="AK6" s="2">
        <f t="shared" si="45"/>
        <v>0.21445693262069629</v>
      </c>
      <c r="AL6" s="2">
        <f t="shared" si="20"/>
        <v>0.1749124687640547</v>
      </c>
      <c r="AM6" s="2">
        <f t="shared" si="21"/>
        <v>0.12947634766553079</v>
      </c>
      <c r="AN6" s="2">
        <f t="shared" si="22"/>
        <v>0.12231636837317518</v>
      </c>
      <c r="AO6" s="8">
        <f t="shared" si="23"/>
        <v>1</v>
      </c>
      <c r="AP6" t="str" cm="1">
        <f t="array" ref="AP6">_xlfn.IFS(AQ6=MAX(AQ6:AT6),"road",AR6=MAX(AQ6:AT6),"safety",AS6=MAX(AQ6:AT6),"waste",AT6=MAX(AQ6:AT6),"water")</f>
        <v>road</v>
      </c>
      <c r="AQ6" s="2">
        <f t="shared" si="24"/>
        <v>0.23118515836229786</v>
      </c>
      <c r="AR6" s="2">
        <f t="shared" si="25"/>
        <v>0.16910041506303669</v>
      </c>
      <c r="AS6" s="2">
        <f t="shared" si="26"/>
        <v>0.11784668950029276</v>
      </c>
      <c r="AT6" s="2">
        <f t="shared" si="27"/>
        <v>0.13556978088825525</v>
      </c>
      <c r="AU6" s="2"/>
      <c r="AW6" s="10">
        <f t="shared" si="4"/>
        <v>1</v>
      </c>
      <c r="AX6" s="2">
        <f t="shared" si="5"/>
        <v>0.44564209098299412</v>
      </c>
      <c r="AY6" t="str" cm="1">
        <f t="array" ref="AY6">_xlfn.IFS(AZ6=MAX(AZ6:BC6),"road",BA6=MAX(AZ6:BC6),"safety",BB6=MAX(AZ6:BC6),"waste",BC6=MAX(AZ6:BC6),"water")</f>
        <v>road</v>
      </c>
      <c r="AZ6" s="2">
        <f t="shared" si="28"/>
        <v>0.44564209098299412</v>
      </c>
      <c r="BA6" s="2">
        <f t="shared" si="29"/>
        <v>0.34401288382709139</v>
      </c>
      <c r="BB6" s="2">
        <f t="shared" si="30"/>
        <v>0.24732303716582354</v>
      </c>
      <c r="BC6" s="2">
        <f t="shared" si="31"/>
        <v>0.25788614926143044</v>
      </c>
      <c r="BD6" s="2"/>
      <c r="BF6" s="2">
        <f t="shared" si="32"/>
        <v>0.57907669133362694</v>
      </c>
      <c r="BG6" s="2">
        <f t="shared" si="33"/>
        <v>0.53213133716133498</v>
      </c>
      <c r="BH6" s="2">
        <f t="shared" si="34"/>
        <v>0.42324762472365701</v>
      </c>
      <c r="BI6" s="2">
        <f t="shared" si="35"/>
        <v>0.46554434678137702</v>
      </c>
      <c r="BK6" s="7">
        <f t="shared" si="6"/>
        <v>1</v>
      </c>
      <c r="BL6" t="str" cm="1">
        <f t="array" ref="BL6">_xlfn.IFS(BO6=MAX(BO6:BV6),"road",BR6=MAX(BO6:BV6),"water",BT6=MAX(BO6:BV6),"safety",BU6=MAX(BO6:BV6),"waste",BV6=MAX(BO6:BV6),"water")</f>
        <v>road</v>
      </c>
      <c r="BM6">
        <f t="shared" si="7"/>
        <v>1</v>
      </c>
      <c r="BN6" t="str" cm="1">
        <f t="array" ref="BN6">_xlfn.IFS(BO6=MAX(BO6:BR6),"road",BP6=MAX(BO6:BR6),"safety",BQ6=MAX(BO6:BR6),"waste",BR6=MAX(BO6:BR6),"water")</f>
        <v>road</v>
      </c>
      <c r="BO6" s="1">
        <f t="shared" si="36"/>
        <v>2.7568931674495105</v>
      </c>
      <c r="BP6" s="1">
        <f t="shared" si="37"/>
        <v>1.9878508498913929</v>
      </c>
      <c r="BQ6" s="1">
        <f t="shared" si="38"/>
        <v>1.7725244705130343</v>
      </c>
      <c r="BR6" s="1">
        <f t="shared" si="39"/>
        <v>1.5969738617387474</v>
      </c>
      <c r="BS6" s="1">
        <f t="shared" si="40"/>
        <v>2.4035422702279714</v>
      </c>
      <c r="BT6" s="1">
        <f t="shared" si="41"/>
        <v>1.002076533706884</v>
      </c>
      <c r="BU6" s="1">
        <f t="shared" si="42"/>
        <v>0.64935930949140908</v>
      </c>
      <c r="BV6" s="1">
        <f t="shared" si="43"/>
        <v>0.84204832849847999</v>
      </c>
      <c r="BX6" s="1"/>
      <c r="BY6" s="1"/>
      <c r="BZ6" s="1"/>
      <c r="CA6" s="1"/>
    </row>
    <row r="7" spans="1:83" x14ac:dyDescent="0.25">
      <c r="A7" t="s">
        <v>20</v>
      </c>
      <c r="B7" s="6" t="s">
        <v>3</v>
      </c>
      <c r="C7" t="s">
        <v>22</v>
      </c>
      <c r="D7" t="s">
        <v>15</v>
      </c>
      <c r="E7" t="s">
        <v>22</v>
      </c>
      <c r="F7" t="s">
        <v>22</v>
      </c>
      <c r="G7" s="3">
        <v>0.25716565671667002</v>
      </c>
      <c r="H7" s="3">
        <v>0.226633990772838</v>
      </c>
      <c r="I7" s="3">
        <v>0.25003938627647398</v>
      </c>
      <c r="J7" s="3">
        <v>0.26616096623401603</v>
      </c>
      <c r="K7" s="3">
        <v>0.23357715349649499</v>
      </c>
      <c r="L7" s="3">
        <v>0.20176422153488499</v>
      </c>
      <c r="M7" s="3">
        <v>0.26336787908239601</v>
      </c>
      <c r="N7" s="3">
        <v>0.30129074588622201</v>
      </c>
      <c r="O7" s="11">
        <f t="shared" si="8"/>
        <v>0.26616096623401603</v>
      </c>
      <c r="Q7">
        <f t="shared" si="0"/>
        <v>1</v>
      </c>
      <c r="R7" t="str" cm="1">
        <f t="array" ref="R7">_xlfn.IFS(S7=MAX(S7:V7),"road",T7=MAX(S7:V7),"safety",U7=MAX(S7:V7),"waste",V7=MAX(S7:V7),"water")</f>
        <v>road</v>
      </c>
      <c r="S7" s="1">
        <f t="shared" si="9"/>
        <v>0.20144643109472485</v>
      </c>
      <c r="T7" s="1">
        <f t="shared" si="10"/>
        <v>0.16242102672053391</v>
      </c>
      <c r="U7" s="1">
        <f t="shared" si="11"/>
        <v>0.19169686281196338</v>
      </c>
      <c r="V7" s="1">
        <f t="shared" si="12"/>
        <v>0.19518470857161177</v>
      </c>
      <c r="W7" s="1"/>
      <c r="X7" s="1">
        <f t="shared" si="13"/>
        <v>0.20632648558857056</v>
      </c>
      <c r="Y7" s="1">
        <f t="shared" si="14"/>
        <v>0.15132316615116376</v>
      </c>
      <c r="Z7" s="1">
        <f t="shared" si="15"/>
        <v>0.17557858605493068</v>
      </c>
      <c r="AA7" s="1">
        <f t="shared" si="16"/>
        <v>0.2109035221203554</v>
      </c>
      <c r="AB7" s="8">
        <f t="shared" si="2"/>
        <v>0</v>
      </c>
      <c r="AC7" t="str" cm="1">
        <f t="array" ref="AC7">_xlfn.IFS(AD7=MAX(AD7:AG7),"road",AE7=MAX(AD7:AG7),"safety",AF7=MAX(AD7:AG7),"waste",AG7=MAX(AD7:AG7),"water")</f>
        <v>water</v>
      </c>
      <c r="AD7" s="1">
        <f t="shared" si="44"/>
        <v>0.20632648558857056</v>
      </c>
      <c r="AE7" s="1">
        <f t="shared" si="17"/>
        <v>0.15132316615116376</v>
      </c>
      <c r="AF7" s="1">
        <f t="shared" si="18"/>
        <v>0.17557858605493068</v>
      </c>
      <c r="AG7" s="1">
        <f t="shared" si="19"/>
        <v>0.2109035221203554</v>
      </c>
      <c r="AI7" s="8">
        <f t="shared" si="3"/>
        <v>1</v>
      </c>
      <c r="AJ7" t="str" cm="1">
        <f t="array" ref="AJ7">_xlfn.IFS(AK7=MAX(AK7:AN7),"road",AL7=MAX(AK7:AN7),"safety",AM7=MAX(AK7:AN7),"waste",AN7=MAX(AK7:AN7),"water")</f>
        <v>road</v>
      </c>
      <c r="AK7" s="2">
        <f t="shared" si="45"/>
        <v>0.18465922850349778</v>
      </c>
      <c r="AL7" s="2">
        <f t="shared" si="20"/>
        <v>0.14076488982446272</v>
      </c>
      <c r="AM7" s="2">
        <f t="shared" si="21"/>
        <v>0.15655243796310342</v>
      </c>
      <c r="AN7" s="2">
        <f t="shared" si="22"/>
        <v>0.15289468838109588</v>
      </c>
      <c r="AO7" s="8">
        <f t="shared" si="23"/>
        <v>1</v>
      </c>
      <c r="AP7" t="str" cm="1">
        <f t="array" ref="AP7">_xlfn.IFS(AQ7=MAX(AQ7:AT7),"road",AR7=MAX(AQ7:AT7),"safety",AS7=MAX(AQ7:AT7),"waste",AT7=MAX(AQ7:AT7),"water")</f>
        <v>road</v>
      </c>
      <c r="AQ7" s="2">
        <f t="shared" si="24"/>
        <v>0.19257138654933253</v>
      </c>
      <c r="AR7" s="2">
        <f t="shared" si="25"/>
        <v>0.13619084953604738</v>
      </c>
      <c r="AS7" s="2">
        <f t="shared" si="26"/>
        <v>0.14338917861152672</v>
      </c>
      <c r="AT7" s="2">
        <f t="shared" si="27"/>
        <v>0.16169270029227245</v>
      </c>
      <c r="AU7" s="2"/>
      <c r="AW7" s="10">
        <f t="shared" si="4"/>
        <v>1</v>
      </c>
      <c r="AX7" s="2">
        <f t="shared" si="5"/>
        <v>0.37723061505283029</v>
      </c>
      <c r="AY7" t="str" cm="1">
        <f t="array" ref="AY7">_xlfn.IFS(AZ7=MAX(AZ7:BC7),"road",BA7=MAX(AZ7:BC7),"safety",BB7=MAX(AZ7:BC7),"waste",BC7=MAX(AZ7:BC7),"water")</f>
        <v>road</v>
      </c>
      <c r="AZ7" s="2">
        <f t="shared" si="28"/>
        <v>0.37723061505283029</v>
      </c>
      <c r="BA7" s="2">
        <f t="shared" si="29"/>
        <v>0.2769557393605101</v>
      </c>
      <c r="BB7" s="2">
        <f t="shared" si="30"/>
        <v>0.29994161657463014</v>
      </c>
      <c r="BC7" s="2">
        <f t="shared" si="31"/>
        <v>0.31458738867336833</v>
      </c>
      <c r="BD7" s="2"/>
      <c r="BF7" s="2">
        <f t="shared" si="32"/>
        <v>0.49074281021316501</v>
      </c>
      <c r="BG7" s="2">
        <f t="shared" si="33"/>
        <v>0.42839821230772301</v>
      </c>
      <c r="BH7" s="2">
        <f t="shared" si="34"/>
        <v>0.51340726535886994</v>
      </c>
      <c r="BI7" s="2">
        <f t="shared" si="35"/>
        <v>0.56745171212023804</v>
      </c>
      <c r="BK7" s="7">
        <f t="shared" si="6"/>
        <v>1</v>
      </c>
      <c r="BL7" t="str" cm="1">
        <f t="array" ref="BL7">_xlfn.IFS(BO7=MAX(BO7:BV7),"road",BR7=MAX(BO7:BV7),"water",BT7=MAX(BO7:BV7),"safety",BU7=MAX(BO7:BV7),"waste",BV7=MAX(BO7:BV7),"water")</f>
        <v>road</v>
      </c>
      <c r="BM7">
        <f t="shared" si="7"/>
        <v>1</v>
      </c>
      <c r="BN7" t="str" cm="1">
        <f t="array" ref="BN7">_xlfn.IFS(BO7=MAX(BO7:BR7),"road",BP7=MAX(BO7:BR7),"safety",BQ7=MAX(BO7:BR7),"waste",BR7=MAX(BO7:BR7),"water")</f>
        <v>road</v>
      </c>
      <c r="BO7" s="1">
        <f t="shared" si="36"/>
        <v>2.3738368312308</v>
      </c>
      <c r="BP7" s="1">
        <f t="shared" si="37"/>
        <v>1.5997693466317977</v>
      </c>
      <c r="BQ7" s="1">
        <f t="shared" si="38"/>
        <v>2.1431947395126341</v>
      </c>
      <c r="BR7" s="1">
        <f t="shared" si="39"/>
        <v>1.9962072467551202</v>
      </c>
      <c r="BS7" s="1">
        <f t="shared" si="40"/>
        <v>2.0020898871128141</v>
      </c>
      <c r="BT7" s="1">
        <f t="shared" si="41"/>
        <v>0.80705688613953996</v>
      </c>
      <c r="BU7" s="1">
        <f t="shared" si="42"/>
        <v>0.79010363724718802</v>
      </c>
      <c r="BV7" s="1">
        <f t="shared" si="43"/>
        <v>1.0043024862874068</v>
      </c>
      <c r="BX7" s="1"/>
      <c r="BY7" s="1"/>
      <c r="BZ7" s="1"/>
      <c r="CA7" s="1"/>
    </row>
    <row r="8" spans="1:83" x14ac:dyDescent="0.25">
      <c r="A8" t="s">
        <v>21</v>
      </c>
      <c r="B8" s="6" t="s">
        <v>3</v>
      </c>
      <c r="C8" t="s">
        <v>24</v>
      </c>
      <c r="D8" t="s">
        <v>15</v>
      </c>
      <c r="E8" t="s">
        <v>24</v>
      </c>
      <c r="F8" t="s">
        <v>24</v>
      </c>
      <c r="G8" s="3">
        <v>0.27269601274622501</v>
      </c>
      <c r="H8" s="3">
        <v>0.29383887036080297</v>
      </c>
      <c r="I8" s="3">
        <v>0.23589671420562</v>
      </c>
      <c r="J8" s="3">
        <v>0.19756840268734999</v>
      </c>
      <c r="K8" s="3">
        <v>0.25920849180245997</v>
      </c>
      <c r="L8" s="3">
        <v>0.28232196783469699</v>
      </c>
      <c r="M8" s="3">
        <v>0.22873624069749099</v>
      </c>
      <c r="N8" s="3">
        <v>0.22973329966535</v>
      </c>
      <c r="O8" s="11">
        <f t="shared" si="8"/>
        <v>0.29383887036080297</v>
      </c>
      <c r="Q8">
        <f t="shared" si="0"/>
        <v>1</v>
      </c>
      <c r="R8" t="str" cm="1">
        <f t="array" ref="R8">_xlfn.IFS(S8=MAX(S8:V8),"road",T8=MAX(S8:V8),"safety",U8=MAX(S8:V8),"waste",V8=MAX(S8:V8),"water")</f>
        <v>road</v>
      </c>
      <c r="S8" s="1">
        <f t="shared" si="9"/>
        <v>0.21361187665120959</v>
      </c>
      <c r="T8" s="1">
        <f t="shared" si="10"/>
        <v>0.21058452375857548</v>
      </c>
      <c r="U8" s="1">
        <f t="shared" si="11"/>
        <v>0.18085414755764198</v>
      </c>
      <c r="V8" s="1">
        <f t="shared" si="12"/>
        <v>0.14488349530405667</v>
      </c>
      <c r="W8" s="1"/>
      <c r="X8" s="1">
        <f t="shared" si="13"/>
        <v>0.22896750109217298</v>
      </c>
      <c r="Y8" s="1">
        <f t="shared" si="14"/>
        <v>0.21174147587602274</v>
      </c>
      <c r="Z8" s="1">
        <f t="shared" si="15"/>
        <v>0.15249082713166068</v>
      </c>
      <c r="AA8" s="1">
        <f t="shared" si="16"/>
        <v>0.16081330976574498</v>
      </c>
      <c r="AB8" s="8">
        <f t="shared" si="2"/>
        <v>1</v>
      </c>
      <c r="AC8" t="str" cm="1">
        <f t="array" ref="AC8">_xlfn.IFS(AD8=MAX(AD8:AG8),"road",AE8=MAX(AD8:AG8),"safety",AF8=MAX(AD8:AG8),"waste",AG8=MAX(AD8:AG8),"water")</f>
        <v>road</v>
      </c>
      <c r="AD8" s="1">
        <f t="shared" si="44"/>
        <v>0.22896750109217298</v>
      </c>
      <c r="AE8" s="1">
        <f t="shared" si="17"/>
        <v>0.21174147587602274</v>
      </c>
      <c r="AF8" s="1">
        <f t="shared" si="18"/>
        <v>0.15249082713166068</v>
      </c>
      <c r="AG8" s="1">
        <f t="shared" si="19"/>
        <v>0.16081330976574498</v>
      </c>
      <c r="AI8" s="8">
        <f t="shared" si="3"/>
        <v>1</v>
      </c>
      <c r="AJ8" t="str" cm="1">
        <f t="array" ref="AJ8">_xlfn.IFS(AK8=MAX(AK8:AN8),"road",AL8=MAX(AK8:AN8),"safety",AM8=MAX(AK8:AN8),"waste",AN8=MAX(AK8:AN8),"water")</f>
        <v>road</v>
      </c>
      <c r="AK8" s="2">
        <f t="shared" si="45"/>
        <v>0.19581088693027546</v>
      </c>
      <c r="AL8" s="2">
        <f t="shared" si="20"/>
        <v>0.18250658725743207</v>
      </c>
      <c r="AM8" s="2">
        <f t="shared" si="21"/>
        <v>0.14769755383874095</v>
      </c>
      <c r="AN8" s="2">
        <f t="shared" si="22"/>
        <v>0.11349207132151105</v>
      </c>
      <c r="AO8" s="8">
        <f t="shared" si="23"/>
        <v>1</v>
      </c>
      <c r="AP8" t="str" cm="1">
        <f t="array" ref="AP8">_xlfn.IFS(AQ8=MAX(AQ8:AT8),"road",AR8=MAX(AQ8:AT8),"safety",AS8=MAX(AQ8:AT8),"waste",AT8=MAX(AQ8:AT8),"water")</f>
        <v>road</v>
      </c>
      <c r="AQ8" s="2">
        <f t="shared" si="24"/>
        <v>0.21370300101936146</v>
      </c>
      <c r="AR8" s="2">
        <f t="shared" si="25"/>
        <v>0.19056732828842046</v>
      </c>
      <c r="AS8" s="2">
        <f t="shared" si="26"/>
        <v>0.12453417549085621</v>
      </c>
      <c r="AT8" s="2">
        <f t="shared" si="27"/>
        <v>0.12329020415373781</v>
      </c>
      <c r="AU8" s="2"/>
      <c r="AW8" s="10">
        <f t="shared" si="4"/>
        <v>1</v>
      </c>
      <c r="AX8" s="2">
        <f t="shared" si="5"/>
        <v>0.40951388794963695</v>
      </c>
      <c r="AY8" t="str" cm="1">
        <f t="array" ref="AY8">_xlfn.IFS(AZ8=MAX(AZ8:BC8),"road",BA8=MAX(AZ8:BC8),"safety",BB8=MAX(AZ8:BC8),"waste",BC8=MAX(AZ8:BC8),"water")</f>
        <v>road</v>
      </c>
      <c r="AZ8" s="2">
        <f t="shared" si="28"/>
        <v>0.40951388794963695</v>
      </c>
      <c r="BA8" s="2">
        <f t="shared" si="29"/>
        <v>0.37307391554585256</v>
      </c>
      <c r="BB8" s="2">
        <f t="shared" si="30"/>
        <v>0.27223172932959716</v>
      </c>
      <c r="BC8" s="2">
        <f t="shared" si="31"/>
        <v>0.23678227547524888</v>
      </c>
      <c r="BD8" s="2"/>
      <c r="BF8" s="2">
        <f t="shared" si="32"/>
        <v>0.53190450454868499</v>
      </c>
      <c r="BG8" s="2">
        <f t="shared" si="33"/>
        <v>0.5761608381954999</v>
      </c>
      <c r="BH8" s="2">
        <f t="shared" si="34"/>
        <v>0.46463295490311096</v>
      </c>
      <c r="BI8" s="2">
        <f t="shared" si="35"/>
        <v>0.42730170235269999</v>
      </c>
      <c r="BK8" s="7">
        <f t="shared" si="6"/>
        <v>1</v>
      </c>
      <c r="BL8" t="str" cm="1">
        <f t="array" ref="BL8">_xlfn.IFS(BO8=MAX(BO8:BV8),"road",BR8=MAX(BO8:BV8),"water",BT8=MAX(BO8:BV8),"safety",BU8=MAX(BO8:BV8),"waste",BV8=MAX(BO8:BV8),"water")</f>
        <v>road</v>
      </c>
      <c r="BM8">
        <f t="shared" si="7"/>
        <v>1</v>
      </c>
      <c r="BN8" t="str" cm="1">
        <f t="array" ref="BN8">_xlfn.IFS(BO8=MAX(BO8:BR8),"road",BP8=MAX(BO8:BR8),"safety",BQ8=MAX(BO8:BR8),"waste",BR8=MAX(BO8:BR8),"water")</f>
        <v>road</v>
      </c>
      <c r="BO8" s="1">
        <f t="shared" si="36"/>
        <v>2.5171939638113079</v>
      </c>
      <c r="BP8" s="1">
        <f t="shared" si="37"/>
        <v>2.0741567319586092</v>
      </c>
      <c r="BQ8" s="1">
        <f t="shared" si="38"/>
        <v>2.0219718360481713</v>
      </c>
      <c r="BR8" s="1">
        <f t="shared" si="39"/>
        <v>1.4817630201551248</v>
      </c>
      <c r="BS8" s="1">
        <f t="shared" si="40"/>
        <v>2.2217870725925142</v>
      </c>
      <c r="BT8" s="1">
        <f t="shared" si="41"/>
        <v>1.1292878713387879</v>
      </c>
      <c r="BU8" s="1">
        <f t="shared" si="42"/>
        <v>0.68620872209247297</v>
      </c>
      <c r="BV8" s="1">
        <f t="shared" si="43"/>
        <v>0.76577766555116666</v>
      </c>
      <c r="BX8" s="1"/>
      <c r="BY8" s="1"/>
      <c r="BZ8" s="1"/>
      <c r="CA8" s="1"/>
    </row>
    <row r="9" spans="1:83" x14ac:dyDescent="0.25">
      <c r="A9" t="s">
        <v>23</v>
      </c>
      <c r="B9" s="6" t="s">
        <v>3</v>
      </c>
      <c r="C9" t="s">
        <v>24</v>
      </c>
      <c r="D9" t="s">
        <v>15</v>
      </c>
      <c r="E9" t="s">
        <v>24</v>
      </c>
      <c r="F9" t="s">
        <v>24</v>
      </c>
      <c r="G9" s="3">
        <v>0.30604364943255702</v>
      </c>
      <c r="H9" s="3">
        <v>0.33868056948148301</v>
      </c>
      <c r="I9" s="3">
        <v>0.17107894089814499</v>
      </c>
      <c r="J9" s="3">
        <v>0.18419684018781299</v>
      </c>
      <c r="K9" s="3">
        <v>0.263286920233957</v>
      </c>
      <c r="L9" s="3">
        <v>0.28852219633551301</v>
      </c>
      <c r="M9" s="3">
        <v>0.19331363131007301</v>
      </c>
      <c r="N9" s="3">
        <v>0.25487725212045498</v>
      </c>
      <c r="O9" s="11">
        <f t="shared" si="8"/>
        <v>0.33868056948148301</v>
      </c>
      <c r="Q9">
        <f t="shared" si="0"/>
        <v>0</v>
      </c>
      <c r="R9" t="str" cm="1">
        <f t="array" ref="R9">_xlfn.IFS(S9=MAX(S9:V9),"road",T9=MAX(S9:V9),"safety",U9=MAX(S9:V9),"waste",V9=MAX(S9:V9),"water")</f>
        <v>safety</v>
      </c>
      <c r="S9" s="1">
        <f t="shared" si="9"/>
        <v>0.239734192055503</v>
      </c>
      <c r="T9" s="1">
        <f t="shared" si="10"/>
        <v>0.24272107479506283</v>
      </c>
      <c r="U9" s="1">
        <f t="shared" si="11"/>
        <v>0.13116052135524447</v>
      </c>
      <c r="V9" s="1">
        <f t="shared" si="12"/>
        <v>0.13507768280439619</v>
      </c>
      <c r="W9" s="1"/>
      <c r="X9" s="1">
        <f t="shared" si="13"/>
        <v>0.23257011287332868</v>
      </c>
      <c r="Y9" s="1">
        <f t="shared" si="14"/>
        <v>0.21639164725163476</v>
      </c>
      <c r="Z9" s="1">
        <f t="shared" si="15"/>
        <v>0.12887575420671535</v>
      </c>
      <c r="AA9" s="1">
        <f t="shared" si="16"/>
        <v>0.17841407648431848</v>
      </c>
      <c r="AB9" s="8">
        <f t="shared" si="2"/>
        <v>1</v>
      </c>
      <c r="AC9" t="str" cm="1">
        <f t="array" ref="AC9">_xlfn.IFS(AD9=MAX(AD9:AG9),"road",AE9=MAX(AD9:AG9),"safety",AF9=MAX(AD9:AG9),"waste",AG9=MAX(AD9:AG9),"water")</f>
        <v>road</v>
      </c>
      <c r="AD9" s="1">
        <f t="shared" si="44"/>
        <v>0.23257011287332868</v>
      </c>
      <c r="AE9" s="1">
        <f t="shared" si="17"/>
        <v>0.21639164725163476</v>
      </c>
      <c r="AF9" s="1">
        <f t="shared" si="18"/>
        <v>0.12887575420671535</v>
      </c>
      <c r="AG9" s="1">
        <f t="shared" si="19"/>
        <v>0.17841407648431848</v>
      </c>
      <c r="AI9" s="8">
        <f t="shared" si="3"/>
        <v>1</v>
      </c>
      <c r="AJ9" t="str" cm="1">
        <f t="array" ref="AJ9">_xlfn.IFS(AK9=MAX(AK9:AN9),"road",AL9=MAX(AK9:AN9),"safety",AM9=MAX(AK9:AN9),"waste",AN9=MAX(AK9:AN9),"water")</f>
        <v>road</v>
      </c>
      <c r="AK9" s="2">
        <f t="shared" si="45"/>
        <v>0.21975634271754441</v>
      </c>
      <c r="AL9" s="2">
        <f t="shared" si="20"/>
        <v>0.21035826482238779</v>
      </c>
      <c r="AM9" s="2">
        <f t="shared" si="21"/>
        <v>0.10711442577344965</v>
      </c>
      <c r="AN9" s="2">
        <f t="shared" si="22"/>
        <v>0.10581085153011036</v>
      </c>
      <c r="AO9" s="8">
        <f t="shared" si="23"/>
        <v>1</v>
      </c>
      <c r="AP9" t="str" cm="1">
        <f t="array" ref="AP9">_xlfn.IFS(AQ9=MAX(AQ9:AT9),"road",AR9=MAX(AQ9:AT9),"safety",AS9=MAX(AQ9:AT9),"waste",AT9=MAX(AQ9:AT9),"water")</f>
        <v>road</v>
      </c>
      <c r="AQ9" s="2">
        <f t="shared" si="24"/>
        <v>0.21706543868177344</v>
      </c>
      <c r="AR9" s="2">
        <f t="shared" si="25"/>
        <v>0.19475248252647129</v>
      </c>
      <c r="AS9" s="2">
        <f t="shared" si="26"/>
        <v>0.10524853260215086</v>
      </c>
      <c r="AT9" s="2">
        <f t="shared" si="27"/>
        <v>0.13678412530464415</v>
      </c>
      <c r="AU9" s="2"/>
      <c r="AW9" s="10">
        <f t="shared" si="4"/>
        <v>1</v>
      </c>
      <c r="AX9" s="2">
        <f t="shared" si="5"/>
        <v>0.43682178139931782</v>
      </c>
      <c r="AY9" t="str" cm="1">
        <f t="array" ref="AY9">_xlfn.IFS(AZ9=MAX(AZ9:BC9),"road",BA9=MAX(AZ9:BC9),"safety",BB9=MAX(AZ9:BC9),"waste",BC9=MAX(AZ9:BC9),"water")</f>
        <v>road</v>
      </c>
      <c r="AZ9" s="2">
        <f t="shared" si="28"/>
        <v>0.43682178139931782</v>
      </c>
      <c r="BA9" s="2">
        <f t="shared" si="29"/>
        <v>0.4051107473488591</v>
      </c>
      <c r="BB9" s="2">
        <f t="shared" si="30"/>
        <v>0.21236295837560051</v>
      </c>
      <c r="BC9" s="2">
        <f t="shared" si="31"/>
        <v>0.24259497683475451</v>
      </c>
      <c r="BD9" s="2"/>
      <c r="BF9" s="2">
        <f t="shared" si="32"/>
        <v>0.56933056966651407</v>
      </c>
      <c r="BG9" s="2">
        <f t="shared" si="33"/>
        <v>0.62720276581699608</v>
      </c>
      <c r="BH9" s="2">
        <f t="shared" si="34"/>
        <v>0.36439257220821797</v>
      </c>
      <c r="BI9" s="2">
        <f t="shared" si="35"/>
        <v>0.43907409230826799</v>
      </c>
      <c r="BK9" s="7">
        <f t="shared" si="6"/>
        <v>1</v>
      </c>
      <c r="BL9" t="str" cm="1">
        <f t="array" ref="BL9">_xlfn.IFS(BO9=MAX(BO9:BV9),"road",BR9=MAX(BO9:BV9),"water",BT9=MAX(BO9:BV9),"safety",BU9=MAX(BO9:BV9),"waste",BV9=MAX(BO9:BV9),"water")</f>
        <v>road</v>
      </c>
      <c r="BM9">
        <f t="shared" si="7"/>
        <v>1</v>
      </c>
      <c r="BN9" t="str" cm="1">
        <f t="array" ref="BN9">_xlfn.IFS(BO9=MAX(BO9:BR9),"road",BP9=MAX(BO9:BR9),"safety",BQ9=MAX(BO9:BR9),"waste",BR9=MAX(BO9:BR9),"water")</f>
        <v>road</v>
      </c>
      <c r="BO9" s="1">
        <f t="shared" si="36"/>
        <v>2.8250183024543722</v>
      </c>
      <c r="BP9" s="1">
        <f t="shared" si="37"/>
        <v>2.3906863728104684</v>
      </c>
      <c r="BQ9" s="1">
        <f t="shared" si="38"/>
        <v>1.4663909219840998</v>
      </c>
      <c r="BR9" s="1">
        <f t="shared" si="39"/>
        <v>1.3814763014085973</v>
      </c>
      <c r="BS9" s="1">
        <f t="shared" si="40"/>
        <v>2.2567450305767744</v>
      </c>
      <c r="BT9" s="1">
        <f t="shared" si="41"/>
        <v>1.1540887853420521</v>
      </c>
      <c r="BU9" s="1">
        <f t="shared" si="42"/>
        <v>0.57994089393021908</v>
      </c>
      <c r="BV9" s="1">
        <f t="shared" si="43"/>
        <v>0.84959084040151667</v>
      </c>
      <c r="BX9" s="1"/>
      <c r="BY9" s="1"/>
      <c r="BZ9" s="1"/>
      <c r="CA9" s="1"/>
    </row>
    <row r="10" spans="1:83" x14ac:dyDescent="0.25">
      <c r="A10" t="s">
        <v>25</v>
      </c>
      <c r="B10" s="6" t="s">
        <v>3</v>
      </c>
      <c r="C10" t="s">
        <v>24</v>
      </c>
      <c r="D10" t="s">
        <v>15</v>
      </c>
      <c r="E10" t="s">
        <v>24</v>
      </c>
      <c r="F10" t="s">
        <v>24</v>
      </c>
      <c r="G10" s="3">
        <v>0.23619506049677999</v>
      </c>
      <c r="H10" s="3">
        <v>0.367294497320938</v>
      </c>
      <c r="I10" s="3">
        <v>0.23031188688326201</v>
      </c>
      <c r="J10" s="3">
        <v>0.166198555299018</v>
      </c>
      <c r="K10" s="3">
        <v>0.2224805162465</v>
      </c>
      <c r="L10" s="2">
        <v>0.34533346797720799</v>
      </c>
      <c r="M10" s="3">
        <v>0.24426793610966299</v>
      </c>
      <c r="N10" s="2">
        <v>0.18791807966662799</v>
      </c>
      <c r="O10" s="11">
        <f t="shared" si="8"/>
        <v>0.367294497320938</v>
      </c>
      <c r="Q10">
        <f t="shared" si="0"/>
        <v>0</v>
      </c>
      <c r="R10" t="str" cm="1">
        <f t="array" ref="R10">_xlfn.IFS(S10=MAX(S10:V10),"road",T10=MAX(S10:V10),"safety",U10=MAX(S10:V10),"waste",V10=MAX(S10:V10),"water")</f>
        <v>safety</v>
      </c>
      <c r="S10" s="1">
        <f t="shared" si="9"/>
        <v>0.18501946405581099</v>
      </c>
      <c r="T10" s="1">
        <f t="shared" si="10"/>
        <v>0.26322772308000558</v>
      </c>
      <c r="U10" s="1">
        <f t="shared" si="11"/>
        <v>0.17657244661050087</v>
      </c>
      <c r="V10" s="1">
        <f t="shared" si="12"/>
        <v>0.12187894055261321</v>
      </c>
      <c r="W10" s="1"/>
      <c r="X10" s="1">
        <f t="shared" si="13"/>
        <v>0.19652445601774166</v>
      </c>
      <c r="Y10" s="1">
        <f t="shared" si="14"/>
        <v>0.25900010098290599</v>
      </c>
      <c r="Z10" s="1">
        <f t="shared" si="15"/>
        <v>0.16284529073977536</v>
      </c>
      <c r="AA10" s="1">
        <f t="shared" si="16"/>
        <v>0.13154265576663959</v>
      </c>
      <c r="AB10" s="8">
        <f t="shared" si="2"/>
        <v>0</v>
      </c>
      <c r="AC10" t="str" cm="1">
        <f t="array" ref="AC10">_xlfn.IFS(AD10=MAX(AD10:AG10),"road",AE10=MAX(AD10:AG10),"safety",AF10=MAX(AD10:AG10),"waste",AG10=MAX(AD10:AG10),"water")</f>
        <v>safety</v>
      </c>
      <c r="AD10" s="1">
        <f t="shared" si="44"/>
        <v>0.19652445601774166</v>
      </c>
      <c r="AE10" s="1">
        <f t="shared" si="17"/>
        <v>0.25900010098290599</v>
      </c>
      <c r="AF10" s="1">
        <f t="shared" si="18"/>
        <v>0.16284529073977536</v>
      </c>
      <c r="AG10" s="1">
        <f t="shared" si="19"/>
        <v>0.13154265576663959</v>
      </c>
      <c r="AI10" s="8">
        <f t="shared" si="3"/>
        <v>0</v>
      </c>
      <c r="AJ10" t="str" cm="1">
        <f t="array" ref="AJ10">_xlfn.IFS(AK10=MAX(AK10:AN10),"road",AL10=MAX(AK10:AN10),"safety",AM10=MAX(AK10:AN10),"waste",AN10=MAX(AK10:AN10),"water")</f>
        <v>safety</v>
      </c>
      <c r="AK10" s="2">
        <f t="shared" si="45"/>
        <v>0.1696011753844934</v>
      </c>
      <c r="AL10" s="2">
        <f t="shared" si="20"/>
        <v>0.22813069333600486</v>
      </c>
      <c r="AM10" s="2">
        <f t="shared" si="21"/>
        <v>0.1442008313985757</v>
      </c>
      <c r="AN10" s="2">
        <f t="shared" si="22"/>
        <v>9.547183676621368E-2</v>
      </c>
      <c r="AO10" s="8">
        <f t="shared" si="23"/>
        <v>0</v>
      </c>
      <c r="AP10" t="str" cm="1">
        <f t="array" ref="AP10">_xlfn.IFS(AQ10=MAX(AQ10:AT10),"road",AR10=MAX(AQ10:AT10),"safety",AS10=MAX(AQ10:AT10),"waste",AT10=MAX(AQ10:AT10),"water")</f>
        <v>safety</v>
      </c>
      <c r="AQ10" s="2">
        <f t="shared" si="24"/>
        <v>0.18342282561655887</v>
      </c>
      <c r="AR10" s="2">
        <f t="shared" si="25"/>
        <v>0.23310009088461539</v>
      </c>
      <c r="AS10" s="2">
        <f t="shared" si="26"/>
        <v>0.13299032077081654</v>
      </c>
      <c r="AT10" s="2">
        <f t="shared" si="27"/>
        <v>0.10084936942109035</v>
      </c>
      <c r="AU10" s="2"/>
      <c r="AW10" s="10">
        <f t="shared" si="4"/>
        <v>0</v>
      </c>
      <c r="AX10" s="2">
        <f t="shared" si="5"/>
        <v>0.46123078422062025</v>
      </c>
      <c r="AY10" t="str" cm="1">
        <f t="array" ref="AY10">_xlfn.IFS(AZ10=MAX(AZ10:BC10),"road",BA10=MAX(AZ10:BC10),"safety",BB10=MAX(AZ10:BC10),"waste",BC10=MAX(AZ10:BC10),"water")</f>
        <v>safety</v>
      </c>
      <c r="AZ10" s="2">
        <f t="shared" si="28"/>
        <v>0.35302400100105225</v>
      </c>
      <c r="BA10" s="2">
        <f t="shared" si="29"/>
        <v>0.46123078422062025</v>
      </c>
      <c r="BB10" s="2">
        <f t="shared" si="30"/>
        <v>0.27719115216939227</v>
      </c>
      <c r="BC10" s="2">
        <f t="shared" si="31"/>
        <v>0.19632120618730403</v>
      </c>
      <c r="BD10" s="2"/>
      <c r="BF10" s="2">
        <f t="shared" si="32"/>
        <v>0.45867557674327997</v>
      </c>
      <c r="BG10" s="2">
        <f t="shared" si="33"/>
        <v>0.71262796529814598</v>
      </c>
      <c r="BH10" s="2">
        <f t="shared" si="34"/>
        <v>0.474579822992925</v>
      </c>
      <c r="BI10" s="2">
        <f t="shared" si="35"/>
        <v>0.35411663496564599</v>
      </c>
      <c r="BK10" s="7" t="e">
        <f t="shared" si="6"/>
        <v>#N/A</v>
      </c>
      <c r="BL10" t="e" cm="1">
        <f t="array" ref="BL10">_xlfn.IFS(BO10=MAX(BO10:BV10),"road",BR10=MAX(BO10:BV10),"water",BT10=MAX(BO10:BV10),"safety",BU10=MAX(BO10:BV10),"waste",BV10=MAX(BO10:BV10),"water")</f>
        <v>#N/A</v>
      </c>
      <c r="BM10">
        <f t="shared" si="7"/>
        <v>0</v>
      </c>
      <c r="BN10" t="str" cm="1">
        <f t="array" ref="BN10">_xlfn.IFS(BO10=MAX(BO10:BR10),"road",BP10=MAX(BO10:BR10),"safety",BQ10=MAX(BO10:BR10),"waste",BR10=MAX(BO10:BR10),"water")</f>
        <v>safety</v>
      </c>
      <c r="BO10" s="1">
        <f t="shared" si="36"/>
        <v>2.1802620968933537</v>
      </c>
      <c r="BP10" s="1">
        <f t="shared" si="37"/>
        <v>2.5926670399125036</v>
      </c>
      <c r="BQ10" s="1">
        <f t="shared" si="38"/>
        <v>1.9741018875708172</v>
      </c>
      <c r="BR10" s="1">
        <f t="shared" si="39"/>
        <v>1.246489164742635</v>
      </c>
      <c r="BS10" s="1">
        <f t="shared" si="40"/>
        <v>1.9069758535414285</v>
      </c>
      <c r="BT10" s="1">
        <f t="shared" si="41"/>
        <v>1.3813338719088319</v>
      </c>
      <c r="BU10" s="1">
        <f t="shared" si="42"/>
        <v>0.73280380832898906</v>
      </c>
      <c r="BV10" s="1">
        <f t="shared" si="43"/>
        <v>0.62639359888876001</v>
      </c>
      <c r="BX10" s="1"/>
      <c r="BY10" s="1"/>
      <c r="BZ10" s="1"/>
      <c r="CA10" s="1"/>
    </row>
    <row r="11" spans="1:83" x14ac:dyDescent="0.25">
      <c r="A11" t="s">
        <v>26</v>
      </c>
      <c r="B11" s="6" t="s">
        <v>3</v>
      </c>
      <c r="C11" t="s">
        <v>17</v>
      </c>
      <c r="D11" t="s">
        <v>15</v>
      </c>
      <c r="E11" t="s">
        <v>17</v>
      </c>
      <c r="F11" t="s">
        <v>17</v>
      </c>
      <c r="G11" s="3">
        <v>0.23043937486916599</v>
      </c>
      <c r="H11" s="3">
        <v>0.26998419752170499</v>
      </c>
      <c r="I11" s="3">
        <v>0.30983173188021501</v>
      </c>
      <c r="J11" s="3">
        <v>0.18974469572891101</v>
      </c>
      <c r="K11" s="3">
        <v>0.22100883314492101</v>
      </c>
      <c r="L11" s="3">
        <v>0.26120209298784097</v>
      </c>
      <c r="M11" s="3">
        <v>0.30076867449702099</v>
      </c>
      <c r="N11" s="3">
        <v>0.217020399370215</v>
      </c>
      <c r="O11" s="11">
        <f t="shared" si="8"/>
        <v>0.30983173188021501</v>
      </c>
      <c r="Q11">
        <f t="shared" si="0"/>
        <v>0</v>
      </c>
      <c r="R11" t="str" cm="1">
        <f t="array" ref="R11">_xlfn.IFS(S11=MAX(S11:V11),"road",T11=MAX(S11:V11),"safety",U11=MAX(S11:V11),"waste",V11=MAX(S11:V11),"water")</f>
        <v>waste</v>
      </c>
      <c r="S11" s="1">
        <f t="shared" si="9"/>
        <v>0.18051084364751335</v>
      </c>
      <c r="T11" s="1">
        <f t="shared" si="10"/>
        <v>0.19348867489055524</v>
      </c>
      <c r="U11" s="1">
        <f t="shared" si="11"/>
        <v>0.23753766110816482</v>
      </c>
      <c r="V11" s="1">
        <f t="shared" si="12"/>
        <v>0.13914611020120141</v>
      </c>
      <c r="W11" s="1"/>
      <c r="X11" s="1">
        <f t="shared" si="13"/>
        <v>0.19522446927801354</v>
      </c>
      <c r="Y11" s="1">
        <f t="shared" si="14"/>
        <v>0.19590156974088074</v>
      </c>
      <c r="Z11" s="1">
        <f t="shared" si="15"/>
        <v>0.20051244966468068</v>
      </c>
      <c r="AA11" s="1">
        <f t="shared" si="16"/>
        <v>0.15191427955915049</v>
      </c>
      <c r="AB11" s="8">
        <f t="shared" si="2"/>
        <v>0</v>
      </c>
      <c r="AC11" t="str" cm="1">
        <f t="array" ref="AC11">_xlfn.IFS(AD11=MAX(AD11:AG11),"road",AE11=MAX(AD11:AG11),"safety",AF11=MAX(AD11:AG11),"waste",AG11=MAX(AD11:AG11),"water")</f>
        <v>waste</v>
      </c>
      <c r="AD11" s="1">
        <f t="shared" si="44"/>
        <v>0.19522446927801354</v>
      </c>
      <c r="AE11" s="1">
        <f t="shared" si="17"/>
        <v>0.19590156974088074</v>
      </c>
      <c r="AF11" s="1">
        <f t="shared" si="18"/>
        <v>0.20051244966468068</v>
      </c>
      <c r="AG11" s="1">
        <f t="shared" si="19"/>
        <v>0.15191427955915049</v>
      </c>
      <c r="AI11" s="8">
        <f t="shared" si="3"/>
        <v>0</v>
      </c>
      <c r="AJ11" t="str" cm="1">
        <f t="array" ref="AJ11">_xlfn.IFS(AK11=MAX(AK11:AN11),"road",AL11=MAX(AK11:AN11),"safety",AM11=MAX(AK11:AN11),"waste",AN11=MAX(AK11:AN11),"water")</f>
        <v>waste</v>
      </c>
      <c r="AK11" s="2">
        <f t="shared" si="45"/>
        <v>0.16546827334355391</v>
      </c>
      <c r="AL11" s="2">
        <f t="shared" si="20"/>
        <v>0.16769018490514789</v>
      </c>
      <c r="AM11" s="2">
        <f t="shared" si="21"/>
        <v>0.19398908990500127</v>
      </c>
      <c r="AN11" s="2">
        <f t="shared" si="22"/>
        <v>0.10899778632427444</v>
      </c>
      <c r="AO11" s="8">
        <f t="shared" si="23"/>
        <v>1</v>
      </c>
      <c r="AP11" t="str" cm="1">
        <f t="array" ref="AP11">_xlfn.IFS(AQ11=MAX(AQ11:AT11),"road",AR11=MAX(AQ11:AT11),"safety",AS11=MAX(AQ11:AT11),"waste",AT11=MAX(AQ11:AT11),"water")</f>
        <v>road</v>
      </c>
      <c r="AQ11" s="2">
        <f t="shared" si="24"/>
        <v>0.1822095046594793</v>
      </c>
      <c r="AR11" s="2">
        <f t="shared" si="25"/>
        <v>0.17631141276679269</v>
      </c>
      <c r="AS11" s="2">
        <f t="shared" si="26"/>
        <v>0.16375183389282255</v>
      </c>
      <c r="AT11" s="2">
        <f t="shared" si="27"/>
        <v>0.11646761432868204</v>
      </c>
      <c r="AU11" s="2"/>
      <c r="AW11" s="10">
        <f t="shared" si="4"/>
        <v>0</v>
      </c>
      <c r="AX11" s="2">
        <f t="shared" si="5"/>
        <v>0.35774092379782385</v>
      </c>
      <c r="AY11" t="str" cm="1">
        <f t="array" ref="AY11">_xlfn.IFS(AZ11=MAX(AZ11:BC11),"road",BA11=MAX(AZ11:BC11),"safety",BB11=MAX(AZ11:BC11),"waste",BC11=MAX(AZ11:BC11),"water")</f>
        <v>waste</v>
      </c>
      <c r="AZ11" s="2">
        <f t="shared" si="28"/>
        <v>0.34767777800303323</v>
      </c>
      <c r="BA11" s="2">
        <f t="shared" si="29"/>
        <v>0.34400159767194061</v>
      </c>
      <c r="BB11" s="2">
        <f t="shared" si="30"/>
        <v>0.35774092379782385</v>
      </c>
      <c r="BC11" s="2">
        <f t="shared" si="31"/>
        <v>0.22546540065295648</v>
      </c>
      <c r="BD11" s="2"/>
      <c r="BF11" s="2">
        <f t="shared" si="32"/>
        <v>0.45144820801408703</v>
      </c>
      <c r="BG11" s="2">
        <f t="shared" si="33"/>
        <v>0.53118629050954591</v>
      </c>
      <c r="BH11" s="2">
        <f t="shared" si="34"/>
        <v>0.610600406377236</v>
      </c>
      <c r="BI11" s="2">
        <f t="shared" si="35"/>
        <v>0.40676509509912601</v>
      </c>
      <c r="BK11" s="7" t="e">
        <f t="shared" si="6"/>
        <v>#N/A</v>
      </c>
      <c r="BL11" t="e" cm="1">
        <f t="array" ref="BL11">_xlfn.IFS(BO11=MAX(BO11:BV11),"road",BR11=MAX(BO11:BV11),"water",BT11=MAX(BO11:BV11),"safety",BU11=MAX(BO11:BV11),"waste",BV11=MAX(BO11:BV11),"water")</f>
        <v>#N/A</v>
      </c>
      <c r="BM11">
        <f t="shared" si="7"/>
        <v>0</v>
      </c>
      <c r="BN11" t="str" cm="1">
        <f t="array" ref="BN11">_xlfn.IFS(BO11=MAX(BO11:BR11),"road",BP11=MAX(BO11:BR11),"safety",BQ11=MAX(BO11:BR11),"waste",BR11=MAX(BO11:BR11),"water")</f>
        <v>waste</v>
      </c>
      <c r="BO11" s="1">
        <f t="shared" si="36"/>
        <v>2.1271326910999937</v>
      </c>
      <c r="BP11" s="1">
        <f t="shared" si="37"/>
        <v>1.9057708060355647</v>
      </c>
      <c r="BQ11" s="1">
        <f t="shared" si="38"/>
        <v>2.6557005589732716</v>
      </c>
      <c r="BR11" s="1">
        <f t="shared" si="39"/>
        <v>1.4230852179668325</v>
      </c>
      <c r="BS11" s="1">
        <f t="shared" si="40"/>
        <v>1.8943614269564657</v>
      </c>
      <c r="BT11" s="1">
        <f t="shared" si="41"/>
        <v>1.0448083719513639</v>
      </c>
      <c r="BU11" s="1">
        <f t="shared" si="42"/>
        <v>0.90230602349106304</v>
      </c>
      <c r="BV11" s="1">
        <f t="shared" si="43"/>
        <v>0.72340133123405004</v>
      </c>
      <c r="BX11" s="1"/>
      <c r="BY11" s="1"/>
      <c r="BZ11" s="1"/>
      <c r="CA11" s="1"/>
    </row>
    <row r="12" spans="1:83" x14ac:dyDescent="0.25">
      <c r="A12" t="s">
        <v>27</v>
      </c>
      <c r="B12" s="6" t="s">
        <v>3</v>
      </c>
      <c r="C12" t="s">
        <v>24</v>
      </c>
      <c r="D12" t="s">
        <v>15</v>
      </c>
      <c r="E12" t="s">
        <v>24</v>
      </c>
      <c r="F12" t="s">
        <v>22</v>
      </c>
      <c r="G12" s="3">
        <v>0.29784528086700102</v>
      </c>
      <c r="H12" s="3">
        <v>0.31670175758617197</v>
      </c>
      <c r="I12" s="3">
        <v>0.184549899122158</v>
      </c>
      <c r="J12" s="3">
        <v>0.20090306242466599</v>
      </c>
      <c r="K12" s="3">
        <v>0.251334712755866</v>
      </c>
      <c r="L12" s="3">
        <v>0.271535439484477</v>
      </c>
      <c r="M12" s="3">
        <v>0.19297108744256999</v>
      </c>
      <c r="N12" s="3">
        <v>0.28415876031708398</v>
      </c>
      <c r="O12" s="11">
        <f t="shared" si="8"/>
        <v>0.31670175758617197</v>
      </c>
      <c r="Q12">
        <f t="shared" si="0"/>
        <v>1</v>
      </c>
      <c r="R12" t="str" cm="1">
        <f t="array" ref="R12">_xlfn.IFS(S12=MAX(S12:V12),"road",T12=MAX(S12:V12),"safety",U12=MAX(S12:V12),"waste",V12=MAX(S12:V12),"water")</f>
        <v>road</v>
      </c>
      <c r="S12" s="1">
        <f t="shared" si="9"/>
        <v>0.23331213667915079</v>
      </c>
      <c r="T12" s="1">
        <f t="shared" si="10"/>
        <v>0.22696959293675659</v>
      </c>
      <c r="U12" s="1">
        <f t="shared" si="11"/>
        <v>0.14148825599365444</v>
      </c>
      <c r="V12" s="1">
        <f t="shared" si="12"/>
        <v>0.14732891244475507</v>
      </c>
      <c r="W12" s="1"/>
      <c r="X12" s="1">
        <f t="shared" si="13"/>
        <v>0.22201232960101497</v>
      </c>
      <c r="Y12" s="1">
        <f t="shared" si="14"/>
        <v>0.20365157961335775</v>
      </c>
      <c r="Z12" s="1">
        <f t="shared" si="15"/>
        <v>0.12864739162838001</v>
      </c>
      <c r="AA12" s="1">
        <f t="shared" si="16"/>
        <v>0.19891113222195878</v>
      </c>
      <c r="AB12" s="8">
        <f t="shared" si="2"/>
        <v>1</v>
      </c>
      <c r="AC12" t="str" cm="1">
        <f t="array" ref="AC12">_xlfn.IFS(AD12=MAX(AD12:AG12),"road",AE12=MAX(AD12:AG12),"safety",AF12=MAX(AD12:AG12),"waste",AG12=MAX(AD12:AG12),"water")</f>
        <v>road</v>
      </c>
      <c r="AD12" s="1">
        <f t="shared" si="44"/>
        <v>0.22201232960101497</v>
      </c>
      <c r="AE12" s="1">
        <f t="shared" si="17"/>
        <v>0.20365157961335775</v>
      </c>
      <c r="AF12" s="1">
        <f t="shared" si="18"/>
        <v>0.12864739162838001</v>
      </c>
      <c r="AG12" s="1">
        <f t="shared" si="19"/>
        <v>0.19891113222195878</v>
      </c>
      <c r="AI12" s="8">
        <f t="shared" si="3"/>
        <v>1</v>
      </c>
      <c r="AJ12" t="str" cm="1">
        <f t="array" ref="AJ12">_xlfn.IFS(AK12=MAX(AK12:AN12),"road",AL12=MAX(AK12:AN12),"safety",AM12=MAX(AK12:AN12),"waste",AN12=MAX(AK12:AN12),"water")</f>
        <v>road</v>
      </c>
      <c r="AK12" s="2">
        <f t="shared" si="45"/>
        <v>0.21386945862255488</v>
      </c>
      <c r="AL12" s="2">
        <f t="shared" si="20"/>
        <v>0.19670698054518904</v>
      </c>
      <c r="AM12" s="2">
        <f t="shared" si="21"/>
        <v>0.1155487423948178</v>
      </c>
      <c r="AN12" s="2">
        <f t="shared" si="22"/>
        <v>0.11540764808172481</v>
      </c>
      <c r="AO12" s="8">
        <f t="shared" si="23"/>
        <v>1</v>
      </c>
      <c r="AP12" t="str" cm="1">
        <f t="array" ref="AP12">_xlfn.IFS(AQ12=MAX(AQ12:AT12),"road",AR12=MAX(AQ12:AT12),"safety",AS12=MAX(AQ12:AT12),"waste",AT12=MAX(AQ12:AT12),"water")</f>
        <v>road</v>
      </c>
      <c r="AQ12" s="2">
        <f t="shared" si="24"/>
        <v>0.20721150762761398</v>
      </c>
      <c r="AR12" s="2">
        <f t="shared" si="25"/>
        <v>0.18328642165202197</v>
      </c>
      <c r="AS12" s="2">
        <f t="shared" si="26"/>
        <v>0.10506203649651034</v>
      </c>
      <c r="AT12" s="2">
        <f t="shared" si="27"/>
        <v>0.15249853470350172</v>
      </c>
      <c r="AU12" s="2"/>
      <c r="AW12" s="10">
        <f t="shared" si="4"/>
        <v>1</v>
      </c>
      <c r="AX12" s="2">
        <f t="shared" si="5"/>
        <v>0.42108096625016889</v>
      </c>
      <c r="AY12" t="str" cm="1">
        <f t="array" ref="AY12">_xlfn.IFS(AZ12=MAX(AZ12:BC12),"road",BA12=MAX(AZ12:BC12),"safety",BB12=MAX(AZ12:BC12),"waste",BC12=MAX(AZ12:BC12),"water")</f>
        <v>road</v>
      </c>
      <c r="AZ12" s="2">
        <f t="shared" si="28"/>
        <v>0.42108096625016889</v>
      </c>
      <c r="BA12" s="2">
        <f t="shared" si="29"/>
        <v>0.37999340219721101</v>
      </c>
      <c r="BB12" s="2">
        <f t="shared" si="30"/>
        <v>0.22061077889132813</v>
      </c>
      <c r="BC12" s="2">
        <f t="shared" si="31"/>
        <v>0.26790618278522654</v>
      </c>
      <c r="BD12" s="2"/>
      <c r="BF12" s="2">
        <f t="shared" si="32"/>
        <v>0.54917999362286696</v>
      </c>
      <c r="BG12" s="2">
        <f t="shared" si="33"/>
        <v>0.58823719707064903</v>
      </c>
      <c r="BH12" s="2">
        <f t="shared" si="34"/>
        <v>0.37752098656472799</v>
      </c>
      <c r="BI12" s="2">
        <f t="shared" si="35"/>
        <v>0.48506182274174997</v>
      </c>
      <c r="BK12" s="7">
        <f t="shared" si="6"/>
        <v>1</v>
      </c>
      <c r="BL12" t="str" cm="1">
        <f t="array" ref="BL12">_xlfn.IFS(BO12=MAX(BO12:BV12),"road",BR12=MAX(BO12:BV12),"water",BT12=MAX(BO12:BV12),"safety",BU12=MAX(BO12:BV12),"waste",BV12=MAX(BO12:BV12),"water")</f>
        <v>road</v>
      </c>
      <c r="BM12">
        <f t="shared" si="7"/>
        <v>1</v>
      </c>
      <c r="BN12" t="str" cm="1">
        <f t="array" ref="BN12">_xlfn.IFS(BO12=MAX(BO12:BR12),"road",BP12=MAX(BO12:BR12),"safety",BQ12=MAX(BO12:BR12),"waste",BR12=MAX(BO12:BR12),"water")</f>
        <v>road</v>
      </c>
      <c r="BO12" s="1">
        <f t="shared" si="36"/>
        <v>2.7493410541569325</v>
      </c>
      <c r="BP12" s="1">
        <f t="shared" si="37"/>
        <v>2.2355418182553315</v>
      </c>
      <c r="BQ12" s="1">
        <f t="shared" si="38"/>
        <v>1.5818562781899257</v>
      </c>
      <c r="BR12" s="1">
        <f t="shared" si="39"/>
        <v>1.5067729681849948</v>
      </c>
      <c r="BS12" s="1">
        <f t="shared" si="40"/>
        <v>2.1542975379074227</v>
      </c>
      <c r="BT12" s="1">
        <f t="shared" si="41"/>
        <v>1.086141757937908</v>
      </c>
      <c r="BU12" s="1">
        <f t="shared" si="42"/>
        <v>0.57891326232771001</v>
      </c>
      <c r="BV12" s="1">
        <f t="shared" si="43"/>
        <v>0.94719586772361331</v>
      </c>
      <c r="BX12" s="1"/>
      <c r="BY12" s="1"/>
      <c r="BZ12" s="1"/>
      <c r="CA12" s="1"/>
    </row>
    <row r="13" spans="1:83" x14ac:dyDescent="0.25">
      <c r="A13" t="s">
        <v>28</v>
      </c>
      <c r="B13" s="6" t="s">
        <v>17</v>
      </c>
      <c r="C13" t="s">
        <v>17</v>
      </c>
      <c r="D13" t="s">
        <v>15</v>
      </c>
      <c r="E13" t="s">
        <v>17</v>
      </c>
      <c r="F13" t="s">
        <v>17</v>
      </c>
      <c r="G13" s="3">
        <v>0.25856523589115898</v>
      </c>
      <c r="H13" s="3">
        <v>0.185104502027296</v>
      </c>
      <c r="I13" s="3">
        <v>0.40128670053320697</v>
      </c>
      <c r="J13" s="3">
        <v>0.15504356154833601</v>
      </c>
      <c r="K13" s="3">
        <v>0.24122301199001001</v>
      </c>
      <c r="L13" s="3">
        <v>0.183878708368195</v>
      </c>
      <c r="M13" s="3">
        <v>0.39191177985182202</v>
      </c>
      <c r="N13" s="3">
        <v>0.182986499789972</v>
      </c>
      <c r="O13" s="11">
        <f t="shared" si="8"/>
        <v>0.40128670053320697</v>
      </c>
      <c r="Q13">
        <f t="shared" si="0"/>
        <v>1</v>
      </c>
      <c r="R13" t="str" cm="1">
        <f t="array" ref="R13">_xlfn.IFS(S13=MAX(S13:V13),"road",T13=MAX(S13:V13),"safety",U13=MAX(S13:V13),"waste",V13=MAX(S13:V13),"water")</f>
        <v>waste</v>
      </c>
      <c r="S13" s="1">
        <f t="shared" si="9"/>
        <v>0.2025427681147412</v>
      </c>
      <c r="T13" s="1">
        <f t="shared" si="10"/>
        <v>0.13265822645289546</v>
      </c>
      <c r="U13" s="1">
        <f t="shared" si="11"/>
        <v>0.30765313707545866</v>
      </c>
      <c r="V13" s="1">
        <f t="shared" si="12"/>
        <v>0.11369861180211309</v>
      </c>
      <c r="W13" s="1"/>
      <c r="X13" s="1">
        <f t="shared" si="13"/>
        <v>0.21308032725784218</v>
      </c>
      <c r="Y13" s="1">
        <f t="shared" si="14"/>
        <v>0.13790903127614626</v>
      </c>
      <c r="Z13" s="1">
        <f t="shared" si="15"/>
        <v>0.2612745199012147</v>
      </c>
      <c r="AA13" s="1">
        <f t="shared" si="16"/>
        <v>0.12809054985298041</v>
      </c>
      <c r="AB13" s="8">
        <f t="shared" si="2"/>
        <v>1</v>
      </c>
      <c r="AC13" t="str" cm="1">
        <f t="array" ref="AC13">_xlfn.IFS(AD13=MAX(AD13:AG13),"road",AE13=MAX(AD13:AG13),"safety",AF13=MAX(AD13:AG13),"waste",AG13=MAX(AD13:AG13),"water")</f>
        <v>waste</v>
      </c>
      <c r="AD13" s="1">
        <f t="shared" si="44"/>
        <v>0.21308032725784218</v>
      </c>
      <c r="AE13" s="1">
        <f t="shared" si="17"/>
        <v>0.13790903127614626</v>
      </c>
      <c r="AF13" s="1">
        <f t="shared" si="18"/>
        <v>0.2612745199012147</v>
      </c>
      <c r="AG13" s="1">
        <f t="shared" si="19"/>
        <v>0.12809054985298041</v>
      </c>
      <c r="AI13" s="8">
        <f t="shared" si="3"/>
        <v>1</v>
      </c>
      <c r="AJ13" t="str" cm="1">
        <f t="array" ref="AJ13">_xlfn.IFS(AK13=MAX(AK13:AN13),"road",AL13=MAX(AK13:AN13),"safety",AM13=MAX(AK13:AN13),"waste",AN13=MAX(AK13:AN13),"water")</f>
        <v>waste</v>
      </c>
      <c r="AK13" s="2">
        <f t="shared" si="45"/>
        <v>0.18566420410517942</v>
      </c>
      <c r="AL13" s="2">
        <f t="shared" si="20"/>
        <v>0.11497046292584273</v>
      </c>
      <c r="AM13" s="2">
        <f t="shared" si="21"/>
        <v>0.25125006194495791</v>
      </c>
      <c r="AN13" s="2">
        <f t="shared" si="22"/>
        <v>8.9063912578321913E-2</v>
      </c>
      <c r="AO13" s="8">
        <f t="shared" si="23"/>
        <v>1</v>
      </c>
      <c r="AP13" t="str" cm="1">
        <f t="array" ref="AP13">_xlfn.IFS(AQ13=MAX(AQ13:AT13),"road",AR13=MAX(AQ13:AT13),"safety",AS13=MAX(AQ13:AT13),"waste",AT13=MAX(AQ13:AT13),"water")</f>
        <v>waste</v>
      </c>
      <c r="AQ13" s="2">
        <f t="shared" si="24"/>
        <v>0.19887497210731936</v>
      </c>
      <c r="AR13" s="2">
        <f t="shared" si="25"/>
        <v>0.12411812814853164</v>
      </c>
      <c r="AS13" s="2">
        <f t="shared" si="26"/>
        <v>0.21337419125265866</v>
      </c>
      <c r="AT13" s="2">
        <f t="shared" si="27"/>
        <v>9.8202754887284971E-2</v>
      </c>
      <c r="AU13" s="2"/>
      <c r="AW13" s="10">
        <f t="shared" si="4"/>
        <v>1</v>
      </c>
      <c r="AX13" s="2">
        <f t="shared" si="5"/>
        <v>0.46462425319761658</v>
      </c>
      <c r="AY13" t="str" cm="1">
        <f t="array" ref="AY13">_xlfn.IFS(AZ13=MAX(AZ13:BC13),"road",BA13=MAX(AZ13:BC13),"safety",BB13=MAX(AZ13:BC13),"waste",BC13=MAX(AZ13:BC13),"water")</f>
        <v>waste</v>
      </c>
      <c r="AZ13" s="2">
        <f t="shared" si="28"/>
        <v>0.38453917621249878</v>
      </c>
      <c r="BA13" s="2">
        <f t="shared" si="29"/>
        <v>0.23908859107437436</v>
      </c>
      <c r="BB13" s="2">
        <f t="shared" si="30"/>
        <v>0.46462425319761658</v>
      </c>
      <c r="BC13" s="2">
        <f t="shared" si="31"/>
        <v>0.18726666746560688</v>
      </c>
      <c r="BD13" s="2"/>
      <c r="BF13" s="2">
        <f t="shared" si="32"/>
        <v>0.49978824788116899</v>
      </c>
      <c r="BG13" s="2">
        <f t="shared" si="33"/>
        <v>0.36898321039549098</v>
      </c>
      <c r="BH13" s="2">
        <f t="shared" si="34"/>
        <v>0.79319848038502894</v>
      </c>
      <c r="BI13" s="2">
        <f t="shared" si="35"/>
        <v>0.33803006133830804</v>
      </c>
      <c r="BK13" s="7" t="e">
        <f t="shared" si="6"/>
        <v>#N/A</v>
      </c>
      <c r="BL13" t="e" cm="1">
        <f t="array" ref="BL13">_xlfn.IFS(BO13=MAX(BO13:BV13),"road",BR13=MAX(BO13:BV13),"water",BT13=MAX(BO13:BV13),"safety",BU13=MAX(BO13:BV13),"waste",BV13=MAX(BO13:BV13),"water")</f>
        <v>#N/A</v>
      </c>
      <c r="BM13">
        <f t="shared" si="7"/>
        <v>1</v>
      </c>
      <c r="BN13" t="str" cm="1">
        <f t="array" ref="BN13">_xlfn.IFS(BO13=MAX(BO13:BR13),"road",BP13=MAX(BO13:BR13),"safety",BQ13=MAX(BO13:BR13),"waste",BR13=MAX(BO13:BR13),"water")</f>
        <v>waste</v>
      </c>
      <c r="BO13" s="1">
        <f t="shared" si="36"/>
        <v>2.3867560236106984</v>
      </c>
      <c r="BP13" s="1">
        <f t="shared" si="37"/>
        <v>1.3066200143103248</v>
      </c>
      <c r="BQ13" s="1">
        <f t="shared" si="38"/>
        <v>3.439600290284631</v>
      </c>
      <c r="BR13" s="1">
        <f t="shared" si="39"/>
        <v>1.1628267116125202</v>
      </c>
      <c r="BS13" s="1">
        <f t="shared" si="40"/>
        <v>2.0676258170572286</v>
      </c>
      <c r="BT13" s="1">
        <f t="shared" si="41"/>
        <v>0.73551483347278002</v>
      </c>
      <c r="BU13" s="1">
        <f t="shared" si="42"/>
        <v>1.1757353395554662</v>
      </c>
      <c r="BV13" s="1">
        <f t="shared" si="43"/>
        <v>0.60995499929990671</v>
      </c>
      <c r="BX13" s="1"/>
      <c r="BY13" s="1"/>
      <c r="BZ13" s="1"/>
      <c r="CA13" s="1"/>
    </row>
    <row r="14" spans="1:83" x14ac:dyDescent="0.25">
      <c r="A14" t="s">
        <v>29</v>
      </c>
      <c r="B14" s="6" t="s">
        <v>17</v>
      </c>
      <c r="C14" t="s">
        <v>17</v>
      </c>
      <c r="D14" t="s">
        <v>15</v>
      </c>
      <c r="E14" t="s">
        <v>17</v>
      </c>
      <c r="F14" t="s">
        <v>17</v>
      </c>
      <c r="G14" s="3">
        <v>0.225135924686473</v>
      </c>
      <c r="H14" s="2">
        <v>0.26532021056083499</v>
      </c>
      <c r="I14" s="3">
        <v>0.32816778056378498</v>
      </c>
      <c r="J14" s="3">
        <v>0.181376084188905</v>
      </c>
      <c r="K14" s="3">
        <v>0.20557498062812199</v>
      </c>
      <c r="L14" s="3">
        <v>0.25377370526506099</v>
      </c>
      <c r="M14" s="3">
        <v>0.33452289337451602</v>
      </c>
      <c r="N14" s="3">
        <v>0.20612842073229801</v>
      </c>
      <c r="O14" s="11">
        <f t="shared" si="8"/>
        <v>0.32816778056378498</v>
      </c>
      <c r="Q14">
        <f t="shared" si="0"/>
        <v>1</v>
      </c>
      <c r="R14" t="str" cm="1">
        <f t="array" ref="R14">_xlfn.IFS(S14=MAX(S14:V14),"road",T14=MAX(S14:V14),"safety",U14=MAX(S14:V14),"waste",V14=MAX(S14:V14),"water")</f>
        <v>waste</v>
      </c>
      <c r="S14" s="1">
        <f t="shared" si="9"/>
        <v>0.17635647433773718</v>
      </c>
      <c r="T14" s="1">
        <f t="shared" si="10"/>
        <v>0.19014615090193174</v>
      </c>
      <c r="U14" s="1">
        <f t="shared" si="11"/>
        <v>0.25159529843223516</v>
      </c>
      <c r="V14" s="1">
        <f t="shared" si="12"/>
        <v>0.13300912840519702</v>
      </c>
      <c r="W14" s="1"/>
      <c r="X14" s="1">
        <f t="shared" si="13"/>
        <v>0.18159123288817441</v>
      </c>
      <c r="Y14" s="1">
        <f t="shared" si="14"/>
        <v>0.19033027894879573</v>
      </c>
      <c r="Z14" s="1">
        <f t="shared" si="15"/>
        <v>0.22301526224967738</v>
      </c>
      <c r="AA14" s="1">
        <f t="shared" si="16"/>
        <v>0.1442898945126086</v>
      </c>
      <c r="AB14" s="8">
        <f t="shared" si="2"/>
        <v>1</v>
      </c>
      <c r="AC14" t="str" cm="1">
        <f t="array" ref="AC14">_xlfn.IFS(AD14=MAX(AD14:AG14),"road",AE14=MAX(AD14:AG14),"safety",AF14=MAX(AD14:AG14),"waste",AG14=MAX(AD14:AG14),"water")</f>
        <v>waste</v>
      </c>
      <c r="AD14" s="1">
        <f>SUM(S14*Q77,X14)</f>
        <v>0.18159123288817441</v>
      </c>
      <c r="AE14" s="1">
        <f t="shared" si="17"/>
        <v>0.19033027894879573</v>
      </c>
      <c r="AF14" s="1">
        <f t="shared" si="18"/>
        <v>0.22301526224967738</v>
      </c>
      <c r="AG14" s="1">
        <f t="shared" si="19"/>
        <v>0.1442898945126086</v>
      </c>
      <c r="AI14" s="8">
        <f t="shared" si="3"/>
        <v>1</v>
      </c>
      <c r="AJ14" t="str" cm="1">
        <f t="array" ref="AJ14">_xlfn.IFS(AK14=MAX(AK14:AN14),"road",AL14=MAX(AK14:AN14),"safety",AM14=MAX(AK14:AN14),"waste",AN14=MAX(AK14:AN14),"water")</f>
        <v>waste</v>
      </c>
      <c r="AK14" s="2">
        <f t="shared" si="45"/>
        <v>0.16166010147625909</v>
      </c>
      <c r="AL14" s="2">
        <f t="shared" si="20"/>
        <v>0.16479333078167419</v>
      </c>
      <c r="AM14" s="2">
        <f t="shared" si="21"/>
        <v>0.2054694937196587</v>
      </c>
      <c r="AN14" s="2">
        <f t="shared" si="22"/>
        <v>0.10419048391740433</v>
      </c>
      <c r="AO14" s="8">
        <f t="shared" si="23"/>
        <v>1</v>
      </c>
      <c r="AP14" t="str" cm="1">
        <f t="array" ref="AP14">_xlfn.IFS(AQ14=MAX(AQ14:AT14),"road",AR14=MAX(AQ14:AT14),"safety",AS14=MAX(AQ14:AT14),"waste",AT14=MAX(AQ14:AT14),"water")</f>
        <v>waste</v>
      </c>
      <c r="AQ14" s="2">
        <f t="shared" si="24"/>
        <v>0.16948515069562944</v>
      </c>
      <c r="AR14" s="2">
        <f t="shared" si="25"/>
        <v>0.17129725105391616</v>
      </c>
      <c r="AS14" s="2">
        <f t="shared" si="26"/>
        <v>0.18212913083723653</v>
      </c>
      <c r="AT14" s="2">
        <f t="shared" si="27"/>
        <v>0.11062225245966659</v>
      </c>
      <c r="AU14" s="2"/>
      <c r="AW14" s="10">
        <f t="shared" si="4"/>
        <v>1</v>
      </c>
      <c r="AX14" s="2">
        <f t="shared" si="5"/>
        <v>0.3875986245568952</v>
      </c>
      <c r="AY14" t="str" cm="1">
        <f t="array" ref="AY14">_xlfn.IFS(AZ14=MAX(AZ14:BC14),"road",BA14=MAX(AZ14:BC14),"safety",BB14=MAX(AZ14:BC14),"waste",BC14=MAX(AZ14:BC14),"water")</f>
        <v>waste</v>
      </c>
      <c r="AZ14" s="2">
        <f t="shared" si="28"/>
        <v>0.3311452521718885</v>
      </c>
      <c r="BA14" s="2">
        <f t="shared" si="29"/>
        <v>0.33609058183559037</v>
      </c>
      <c r="BB14" s="2">
        <f t="shared" si="30"/>
        <v>0.3875986245568952</v>
      </c>
      <c r="BC14" s="2">
        <f t="shared" si="31"/>
        <v>0.21481273637707093</v>
      </c>
      <c r="BD14" s="2"/>
      <c r="BF14" s="2">
        <f t="shared" si="32"/>
        <v>0.43071090531459499</v>
      </c>
      <c r="BG14" s="2">
        <f t="shared" si="33"/>
        <v>0.51909391582589604</v>
      </c>
      <c r="BH14" s="2">
        <f t="shared" si="34"/>
        <v>0.66269067393830094</v>
      </c>
      <c r="BI14" s="2">
        <f t="shared" si="35"/>
        <v>0.38750450492120303</v>
      </c>
      <c r="BK14" s="7" t="e">
        <f t="shared" si="6"/>
        <v>#N/A</v>
      </c>
      <c r="BL14" t="e" cm="1">
        <f t="array" ref="BL14">_xlfn.IFS(BO14=MAX(BO14:BV14),"road",BR14=MAX(BO14:BV14),"water",BT14=MAX(BO14:BV14),"safety",BU14=MAX(BO14:BV14),"waste",BV14=MAX(BO14:BV14),"water")</f>
        <v>#N/A</v>
      </c>
      <c r="BM14">
        <f t="shared" si="7"/>
        <v>1</v>
      </c>
      <c r="BN14" t="str" cm="1">
        <f t="array" ref="BN14">_xlfn.IFS(BO14=MAX(BO14:BR14),"road",BP14=MAX(BO14:BR14),"safety",BQ14=MAX(BO14:BR14),"waste",BR14=MAX(BO14:BR14),"water")</f>
        <v>waste</v>
      </c>
      <c r="BO14" s="1">
        <f t="shared" si="36"/>
        <v>2.0781777663366738</v>
      </c>
      <c r="BP14" s="1">
        <f t="shared" si="37"/>
        <v>1.8728485451353059</v>
      </c>
      <c r="BQ14" s="1">
        <f t="shared" si="38"/>
        <v>2.8128666905467283</v>
      </c>
      <c r="BR14" s="1">
        <f t="shared" si="39"/>
        <v>1.3603206314167875</v>
      </c>
      <c r="BS14" s="1">
        <f t="shared" si="40"/>
        <v>1.7620712625267598</v>
      </c>
      <c r="BT14" s="1">
        <f t="shared" si="41"/>
        <v>1.015094821060244</v>
      </c>
      <c r="BU14" s="1">
        <f t="shared" si="42"/>
        <v>1.0035686801235482</v>
      </c>
      <c r="BV14" s="1">
        <f t="shared" si="43"/>
        <v>0.68709473577432667</v>
      </c>
      <c r="BX14" s="1"/>
      <c r="BY14" s="1"/>
      <c r="BZ14" s="1"/>
      <c r="CA14" s="1"/>
    </row>
    <row r="15" spans="1:83" x14ac:dyDescent="0.25">
      <c r="A15" t="s">
        <v>30</v>
      </c>
      <c r="B15" s="6" t="s">
        <v>17</v>
      </c>
      <c r="C15" t="s">
        <v>17</v>
      </c>
      <c r="D15" t="s">
        <v>15</v>
      </c>
      <c r="E15" t="s">
        <v>17</v>
      </c>
      <c r="F15" t="s">
        <v>17</v>
      </c>
      <c r="G15" s="3">
        <v>0.21658869600820499</v>
      </c>
      <c r="H15" s="3">
        <v>0.21713579006731801</v>
      </c>
      <c r="I15" s="3">
        <v>0.36451605069739601</v>
      </c>
      <c r="J15" s="3">
        <v>0.201759463227078</v>
      </c>
      <c r="K15" s="3">
        <v>0.195146756522071</v>
      </c>
      <c r="L15" s="3">
        <v>0.206599666534762</v>
      </c>
      <c r="M15" s="3">
        <v>0.35971824195012397</v>
      </c>
      <c r="N15" s="3">
        <v>0.238535334993042</v>
      </c>
      <c r="O15" s="11">
        <f t="shared" si="8"/>
        <v>0.36451605069739601</v>
      </c>
      <c r="Q15">
        <f t="shared" si="0"/>
        <v>1</v>
      </c>
      <c r="R15" t="str" cm="1">
        <f t="array" ref="R15">_xlfn.IFS(S15=MAX(S15:V15),"road",T15=MAX(S15:V15),"safety",U15=MAX(S15:V15),"waste",V15=MAX(S15:V15),"water")</f>
        <v>waste</v>
      </c>
      <c r="S15" s="1">
        <f t="shared" si="9"/>
        <v>0.16966114520642725</v>
      </c>
      <c r="T15" s="1">
        <f t="shared" si="10"/>
        <v>0.15561398288157791</v>
      </c>
      <c r="U15" s="1">
        <f t="shared" si="11"/>
        <v>0.27946230553467027</v>
      </c>
      <c r="V15" s="1">
        <f t="shared" si="12"/>
        <v>0.14795693969985721</v>
      </c>
      <c r="W15" s="1"/>
      <c r="X15" s="1">
        <f t="shared" si="13"/>
        <v>0.17237963492782937</v>
      </c>
      <c r="Y15" s="1">
        <f t="shared" si="14"/>
        <v>0.15494974990107149</v>
      </c>
      <c r="Z15" s="1">
        <f t="shared" si="15"/>
        <v>0.23981216130008268</v>
      </c>
      <c r="AA15" s="1">
        <f t="shared" si="16"/>
        <v>0.1669747344951294</v>
      </c>
      <c r="AB15" s="8">
        <f t="shared" si="2"/>
        <v>1</v>
      </c>
      <c r="AC15" t="str" cm="1">
        <f t="array" ref="AC15">_xlfn.IFS(AD15=MAX(AD15:AG15),"road",AE15=MAX(AD15:AG15),"safety",AF15=MAX(AD15:AG15),"waste",AG15=MAX(AD15:AG15),"water")</f>
        <v>waste</v>
      </c>
      <c r="AD15" s="1">
        <f t="shared" ref="AD15:AD34" si="46">SUM(S15*Q78,X15)</f>
        <v>0.17237963492782937</v>
      </c>
      <c r="AE15" s="1">
        <f t="shared" ref="AE15:AE34" si="47">SUM(T15*R78,Y15)</f>
        <v>0.15494974990107149</v>
      </c>
      <c r="AF15" s="1">
        <f t="shared" ref="AF15:AF34" si="48">SUM(U15*S78,Z15)</f>
        <v>0.23981216130008268</v>
      </c>
      <c r="AG15" s="1">
        <f t="shared" ref="AG15:AG34" si="49">SUM(V15*T78,AA15)</f>
        <v>0.1669747344951294</v>
      </c>
      <c r="AI15" s="8">
        <f t="shared" si="3"/>
        <v>1</v>
      </c>
      <c r="AJ15" t="str" cm="1">
        <f t="array" ref="AJ15">_xlfn.IFS(AK15=MAX(AK15:AN15),"road",AL15=MAX(AK15:AN15),"safety",AM15=MAX(AK15:AN15),"waste",AN15=MAX(AK15:AN15),"water")</f>
        <v>waste</v>
      </c>
      <c r="AK15" s="2">
        <f t="shared" si="45"/>
        <v>0.15552271643922497</v>
      </c>
      <c r="AL15" s="2">
        <f t="shared" si="20"/>
        <v>0.13486545183070087</v>
      </c>
      <c r="AM15" s="2">
        <f t="shared" si="21"/>
        <v>0.22822754951998073</v>
      </c>
      <c r="AN15" s="2">
        <f t="shared" si="22"/>
        <v>0.11589960276488814</v>
      </c>
      <c r="AO15" s="8">
        <f t="shared" si="23"/>
        <v>1</v>
      </c>
      <c r="AP15" t="str" cm="1">
        <f t="array" ref="AP15">_xlfn.IFS(AQ15=MAX(AQ15:AT15),"road",AR15=MAX(AQ15:AT15),"safety",AS15=MAX(AQ15:AT15),"waste",AT15=MAX(AQ15:AT15),"water")</f>
        <v>waste</v>
      </c>
      <c r="AQ15" s="2">
        <f t="shared" si="24"/>
        <v>0.16088765926597409</v>
      </c>
      <c r="AR15" s="2">
        <f t="shared" si="25"/>
        <v>0.13945477491096434</v>
      </c>
      <c r="AS15" s="2">
        <f t="shared" si="26"/>
        <v>0.19584659839506752</v>
      </c>
      <c r="AT15" s="2">
        <f t="shared" si="27"/>
        <v>0.12801396311293253</v>
      </c>
      <c r="AU15" s="2"/>
      <c r="AW15" s="10">
        <f t="shared" si="4"/>
        <v>1</v>
      </c>
      <c r="AX15" s="2">
        <f t="shared" si="5"/>
        <v>0.42407414791504827</v>
      </c>
      <c r="AY15" t="str" cm="1">
        <f t="array" ref="AY15">_xlfn.IFS(AZ15=MAX(AZ15:BC15),"road",BA15=MAX(AZ15:BC15),"safety",BB15=MAX(AZ15:BC15),"waste",BC15=MAX(AZ15:BC15),"water")</f>
        <v>waste</v>
      </c>
      <c r="AZ15" s="2">
        <f t="shared" si="28"/>
        <v>0.31641037570519903</v>
      </c>
      <c r="BA15" s="2">
        <f t="shared" si="29"/>
        <v>0.27432022674166523</v>
      </c>
      <c r="BB15" s="2">
        <f t="shared" si="30"/>
        <v>0.42407414791504827</v>
      </c>
      <c r="BC15" s="2">
        <f t="shared" si="31"/>
        <v>0.24391356587782068</v>
      </c>
      <c r="BD15" s="2"/>
      <c r="BF15" s="2">
        <f t="shared" si="32"/>
        <v>0.41173545253027599</v>
      </c>
      <c r="BG15" s="2">
        <f t="shared" si="33"/>
        <v>0.42373545660208001</v>
      </c>
      <c r="BH15" s="2">
        <f t="shared" si="34"/>
        <v>0.72423429264752004</v>
      </c>
      <c r="BI15" s="2">
        <f t="shared" si="35"/>
        <v>0.44029479822011997</v>
      </c>
      <c r="BK15" s="7" t="e">
        <f t="shared" si="6"/>
        <v>#N/A</v>
      </c>
      <c r="BL15" t="e" cm="1">
        <f t="array" ref="BL15">_xlfn.IFS(BO15=MAX(BO15:BV15),"road",BR15=MAX(BO15:BV15),"water",BT15=MAX(BO15:BV15),"safety",BU15=MAX(BO15:BV15),"waste",BV15=MAX(BO15:BV15),"water")</f>
        <v>#N/A</v>
      </c>
      <c r="BM15">
        <f t="shared" si="7"/>
        <v>1</v>
      </c>
      <c r="BN15" t="str" cm="1">
        <f t="array" ref="BN15">_xlfn.IFS(BO15=MAX(BO15:BR15),"road",BP15=MAX(BO15:BR15),"safety",BQ15=MAX(BO15:BR15),"waste",BR15=MAX(BO15:BR15),"water")</f>
        <v>waste</v>
      </c>
      <c r="BO15" s="1">
        <f t="shared" si="36"/>
        <v>1.9992802708449691</v>
      </c>
      <c r="BP15" s="1">
        <f t="shared" si="37"/>
        <v>1.5327232240045978</v>
      </c>
      <c r="BQ15" s="1">
        <f t="shared" si="38"/>
        <v>3.1244232916919659</v>
      </c>
      <c r="BR15" s="1">
        <f t="shared" si="39"/>
        <v>1.5131959742030849</v>
      </c>
      <c r="BS15" s="1">
        <f t="shared" si="40"/>
        <v>1.6726864844748943</v>
      </c>
      <c r="BT15" s="1">
        <f t="shared" si="41"/>
        <v>0.826398666139048</v>
      </c>
      <c r="BU15" s="1">
        <f t="shared" si="42"/>
        <v>1.079154725850372</v>
      </c>
      <c r="BV15" s="1">
        <f t="shared" si="43"/>
        <v>0.79511778331014005</v>
      </c>
      <c r="BX15" s="1"/>
      <c r="BY15" s="1"/>
      <c r="BZ15" s="1"/>
      <c r="CA15" s="1"/>
    </row>
    <row r="16" spans="1:83" x14ac:dyDescent="0.25">
      <c r="A16" t="s">
        <v>31</v>
      </c>
      <c r="B16" s="6" t="s">
        <v>17</v>
      </c>
      <c r="C16" t="s">
        <v>3</v>
      </c>
      <c r="D16" t="s">
        <v>15</v>
      </c>
      <c r="E16" t="s">
        <v>3</v>
      </c>
      <c r="F16" t="s">
        <v>24</v>
      </c>
      <c r="G16" s="3">
        <v>0.31028752190533798</v>
      </c>
      <c r="H16" s="3">
        <v>0.30548247507849502</v>
      </c>
      <c r="I16" s="3">
        <v>0.182498464100046</v>
      </c>
      <c r="J16" s="3">
        <v>0.201731538916118</v>
      </c>
      <c r="K16" s="3">
        <v>0.26826888179179698</v>
      </c>
      <c r="L16" s="3">
        <v>0.30424670495181599</v>
      </c>
      <c r="M16" s="3">
        <v>0.18752045172501799</v>
      </c>
      <c r="N16" s="3">
        <v>0.23996396153136601</v>
      </c>
      <c r="O16" s="11">
        <f t="shared" si="8"/>
        <v>0.31028752190533798</v>
      </c>
      <c r="Q16">
        <f t="shared" si="0"/>
        <v>0</v>
      </c>
      <c r="R16" t="str" cm="1">
        <f t="array" ref="R16">_xlfn.IFS(S16=MAX(S16:V16),"road",T16=MAX(S16:V16),"safety",U16=MAX(S16:V16),"waste",V16=MAX(S16:V16),"water")</f>
        <v>road</v>
      </c>
      <c r="S16" s="1">
        <f t="shared" si="9"/>
        <v>0.24305855882584809</v>
      </c>
      <c r="T16" s="1">
        <f t="shared" si="10"/>
        <v>0.2189291071395881</v>
      </c>
      <c r="U16" s="1">
        <f t="shared" si="11"/>
        <v>0.1399154891433686</v>
      </c>
      <c r="V16" s="1">
        <f t="shared" si="12"/>
        <v>0.14793646187181989</v>
      </c>
      <c r="W16" s="1"/>
      <c r="X16" s="1">
        <f t="shared" si="13"/>
        <v>0.236970845582754</v>
      </c>
      <c r="Y16" s="1">
        <f t="shared" si="14"/>
        <v>0.22818502871386198</v>
      </c>
      <c r="Z16" s="1">
        <f t="shared" si="15"/>
        <v>0.12501363448334535</v>
      </c>
      <c r="AA16" s="1">
        <f t="shared" si="16"/>
        <v>0.16797477307195618</v>
      </c>
      <c r="AB16" s="8">
        <f t="shared" si="2"/>
        <v>0</v>
      </c>
      <c r="AC16" t="str" cm="1">
        <f t="array" ref="AC16">_xlfn.IFS(AD16=MAX(AD16:AG16),"road",AE16=MAX(AD16:AG16),"safety",AF16=MAX(AD16:AG16),"waste",AG16=MAX(AD16:AG16),"water")</f>
        <v>road</v>
      </c>
      <c r="AD16" s="1">
        <f t="shared" si="46"/>
        <v>0.236970845582754</v>
      </c>
      <c r="AE16" s="1">
        <f t="shared" si="47"/>
        <v>0.22818502871386198</v>
      </c>
      <c r="AF16" s="1">
        <f t="shared" si="48"/>
        <v>0.12501363448334535</v>
      </c>
      <c r="AG16" s="1">
        <f t="shared" si="49"/>
        <v>0.16797477307195618</v>
      </c>
      <c r="AI16" s="8">
        <f t="shared" si="3"/>
        <v>0</v>
      </c>
      <c r="AJ16" t="str" cm="1">
        <f t="array" ref="AJ16">_xlfn.IFS(AK16=MAX(AK16:AN16),"road",AL16=MAX(AK16:AN16),"safety",AM16=MAX(AK16:AN16),"waste",AN16=MAX(AK16:AN16),"water")</f>
        <v>road</v>
      </c>
      <c r="AK16" s="2">
        <f t="shared" si="45"/>
        <v>0.22280367892369407</v>
      </c>
      <c r="AL16" s="2">
        <f t="shared" si="20"/>
        <v>0.18973855952097637</v>
      </c>
      <c r="AM16" s="2">
        <f t="shared" si="21"/>
        <v>0.11426431613375101</v>
      </c>
      <c r="AN16" s="2">
        <f t="shared" si="22"/>
        <v>0.11588356179959224</v>
      </c>
      <c r="AO16" s="8">
        <f t="shared" si="23"/>
        <v>0</v>
      </c>
      <c r="AP16" t="str" cm="1">
        <f t="array" ref="AP16">_xlfn.IFS(AQ16=MAX(AQ16:AT16),"road",AR16=MAX(AQ16:AT16),"safety",AS16=MAX(AQ16:AT16),"waste",AT16=MAX(AQ16:AT16),"water")</f>
        <v>road</v>
      </c>
      <c r="AQ16" s="2">
        <f t="shared" si="24"/>
        <v>0.2211727892105704</v>
      </c>
      <c r="AR16" s="2">
        <f t="shared" si="25"/>
        <v>0.20536652584247578</v>
      </c>
      <c r="AS16" s="2">
        <f t="shared" si="26"/>
        <v>0.10209446816139869</v>
      </c>
      <c r="AT16" s="2">
        <f t="shared" si="27"/>
        <v>0.12878065935516639</v>
      </c>
      <c r="AU16" s="2"/>
      <c r="AW16" s="10">
        <f t="shared" si="4"/>
        <v>0</v>
      </c>
      <c r="AX16" s="2">
        <f t="shared" si="5"/>
        <v>0.4439764681342645</v>
      </c>
      <c r="AY16" t="str" cm="1">
        <f t="array" ref="AY16">_xlfn.IFS(AZ16=MAX(AZ16:BC16),"road",BA16=MAX(AZ16:BC16),"safety",BB16=MAX(AZ16:BC16),"waste",BC16=MAX(AZ16:BC16),"water")</f>
        <v>road</v>
      </c>
      <c r="AZ16" s="2">
        <f t="shared" si="28"/>
        <v>0.4439764681342645</v>
      </c>
      <c r="BA16" s="2">
        <f t="shared" si="29"/>
        <v>0.39510508536345212</v>
      </c>
      <c r="BB16" s="2">
        <f t="shared" si="30"/>
        <v>0.21635878429514971</v>
      </c>
      <c r="BC16" s="2">
        <f t="shared" si="31"/>
        <v>0.24466422115475861</v>
      </c>
      <c r="BD16" s="2"/>
      <c r="BF16" s="2">
        <f t="shared" si="32"/>
        <v>0.5785564036971349</v>
      </c>
      <c r="BG16" s="2">
        <f t="shared" si="33"/>
        <v>0.60972918003031107</v>
      </c>
      <c r="BH16" s="2">
        <f t="shared" si="34"/>
        <v>0.37001891582506397</v>
      </c>
      <c r="BI16" s="2">
        <f t="shared" si="35"/>
        <v>0.44169550044748401</v>
      </c>
      <c r="BK16" s="7">
        <f t="shared" si="6"/>
        <v>0</v>
      </c>
      <c r="BL16" t="str" cm="1">
        <f t="array" ref="BL16">_xlfn.IFS(BO16=MAX(BO16:BV16),"road",BR16=MAX(BO16:BV16),"water",BT16=MAX(BO16:BV16),"safety",BU16=MAX(BO16:BV16),"waste",BV16=MAX(BO16:BV16),"water")</f>
        <v>road</v>
      </c>
      <c r="BM16">
        <f t="shared" si="7"/>
        <v>0</v>
      </c>
      <c r="BN16" t="str" cm="1">
        <f t="array" ref="BN16">_xlfn.IFS(BO16=MAX(BO16:BR16),"road",BP16=MAX(BO16:BR16),"safety",BQ16=MAX(BO16:BR16),"waste",BR16=MAX(BO16:BR16),"water")</f>
        <v>road</v>
      </c>
      <c r="BO16" s="1">
        <f t="shared" si="36"/>
        <v>2.8641925098954273</v>
      </c>
      <c r="BP16" s="1">
        <f t="shared" si="37"/>
        <v>2.1563468829070236</v>
      </c>
      <c r="BQ16" s="1">
        <f t="shared" si="38"/>
        <v>1.5642725494289658</v>
      </c>
      <c r="BR16" s="1">
        <f t="shared" si="39"/>
        <v>1.512986541870885</v>
      </c>
      <c r="BS16" s="1">
        <f t="shared" si="40"/>
        <v>2.2994475582154026</v>
      </c>
      <c r="BT16" s="1">
        <f t="shared" si="41"/>
        <v>1.216986819807264</v>
      </c>
      <c r="BU16" s="1">
        <f t="shared" si="42"/>
        <v>0.56256135517505401</v>
      </c>
      <c r="BV16" s="1">
        <f t="shared" si="43"/>
        <v>0.79987987177122011</v>
      </c>
      <c r="BX16" s="1"/>
      <c r="BY16" s="1"/>
      <c r="BZ16" s="1"/>
      <c r="CA16" s="1"/>
    </row>
    <row r="17" spans="1:79" x14ac:dyDescent="0.25">
      <c r="A17" t="s">
        <v>32</v>
      </c>
      <c r="B17" s="6" t="s">
        <v>17</v>
      </c>
      <c r="C17" t="s">
        <v>24</v>
      </c>
      <c r="D17" t="s">
        <v>15</v>
      </c>
      <c r="E17" t="s">
        <v>24</v>
      </c>
      <c r="F17" t="s">
        <v>24</v>
      </c>
      <c r="G17" s="3">
        <v>0.21877973775342599</v>
      </c>
      <c r="H17" s="3">
        <v>0.319082644425222</v>
      </c>
      <c r="I17" s="3">
        <v>0.229904602862288</v>
      </c>
      <c r="J17" s="3">
        <v>0.23223301495906201</v>
      </c>
      <c r="K17" s="3">
        <v>0.21484013774528599</v>
      </c>
      <c r="L17" s="3">
        <v>0.32649427029832601</v>
      </c>
      <c r="M17" s="3">
        <v>0.221720495179274</v>
      </c>
      <c r="N17" s="3">
        <v>0.23694509677711201</v>
      </c>
      <c r="O17" s="11">
        <f t="shared" si="8"/>
        <v>0.319082644425222</v>
      </c>
      <c r="Q17">
        <f t="shared" si="0"/>
        <v>0</v>
      </c>
      <c r="R17" t="str" cm="1">
        <f t="array" ref="R17">_xlfn.IFS(S17=MAX(S17:V17),"road",T17=MAX(S17:V17),"safety",U17=MAX(S17:V17),"waste",V17=MAX(S17:V17),"water")</f>
        <v>safety</v>
      </c>
      <c r="S17" s="1">
        <f t="shared" si="9"/>
        <v>0.17137746124018369</v>
      </c>
      <c r="T17" s="1">
        <f t="shared" si="10"/>
        <v>0.2286758951714091</v>
      </c>
      <c r="U17" s="1">
        <f t="shared" si="11"/>
        <v>0.17626019552775413</v>
      </c>
      <c r="V17" s="1">
        <f t="shared" si="12"/>
        <v>0.17030421096997883</v>
      </c>
      <c r="W17" s="1"/>
      <c r="X17" s="1">
        <f t="shared" si="13"/>
        <v>0.18977545500833595</v>
      </c>
      <c r="Y17" s="1">
        <f t="shared" si="14"/>
        <v>0.2448707027237445</v>
      </c>
      <c r="Z17" s="1">
        <f t="shared" si="15"/>
        <v>0.14781366345284935</v>
      </c>
      <c r="AA17" s="1">
        <f t="shared" si="16"/>
        <v>0.16586156774397839</v>
      </c>
      <c r="AB17" s="8">
        <f t="shared" si="2"/>
        <v>0</v>
      </c>
      <c r="AC17" t="str" cm="1">
        <f t="array" ref="AC17">_xlfn.IFS(AD17=MAX(AD17:AG17),"road",AE17=MAX(AD17:AG17),"safety",AF17=MAX(AD17:AG17),"waste",AG17=MAX(AD17:AG17),"water")</f>
        <v>safety</v>
      </c>
      <c r="AD17" s="1">
        <f t="shared" si="46"/>
        <v>0.18977545500833595</v>
      </c>
      <c r="AE17" s="1">
        <f t="shared" si="47"/>
        <v>0.2448707027237445</v>
      </c>
      <c r="AF17" s="1">
        <f t="shared" si="48"/>
        <v>0.14781366345284935</v>
      </c>
      <c r="AG17" s="1">
        <f t="shared" si="49"/>
        <v>0.16586156774397839</v>
      </c>
      <c r="AI17" s="8">
        <f t="shared" si="3"/>
        <v>0</v>
      </c>
      <c r="AJ17" t="str" cm="1">
        <f t="array" ref="AJ17">_xlfn.IFS(AK17=MAX(AK17:AN17),"road",AL17=MAX(AK17:AN17),"safety",AM17=MAX(AK17:AN17),"waste",AN17=MAX(AK17:AN17),"water")</f>
        <v>safety</v>
      </c>
      <c r="AK17" s="2">
        <f t="shared" si="45"/>
        <v>0.15709600613683505</v>
      </c>
      <c r="AL17" s="2">
        <f t="shared" si="20"/>
        <v>0.19818577581522123</v>
      </c>
      <c r="AM17" s="2">
        <f t="shared" si="21"/>
        <v>0.14394582634766587</v>
      </c>
      <c r="AN17" s="2">
        <f t="shared" si="22"/>
        <v>0.13340496525981674</v>
      </c>
      <c r="AO17" s="8">
        <f t="shared" si="23"/>
        <v>0</v>
      </c>
      <c r="AP17" t="str" cm="1">
        <f t="array" ref="AP17">_xlfn.IFS(AQ17=MAX(AQ17:AT17),"road",AR17=MAX(AQ17:AT17),"safety",AS17=MAX(AQ17:AT17),"waste",AT17=MAX(AQ17:AT17),"water")</f>
        <v>safety</v>
      </c>
      <c r="AQ17" s="2">
        <f t="shared" si="24"/>
        <v>0.17712375800778021</v>
      </c>
      <c r="AR17" s="2">
        <f t="shared" si="25"/>
        <v>0.22038363245137005</v>
      </c>
      <c r="AS17" s="2">
        <f t="shared" si="26"/>
        <v>0.12071449181982696</v>
      </c>
      <c r="AT17" s="2">
        <f t="shared" si="27"/>
        <v>0.12716053527038343</v>
      </c>
      <c r="AU17" s="2"/>
      <c r="AW17" s="10">
        <f t="shared" si="4"/>
        <v>0</v>
      </c>
      <c r="AX17" s="2">
        <f t="shared" si="5"/>
        <v>0.41856940826659128</v>
      </c>
      <c r="AY17" t="str" cm="1">
        <f t="array" ref="AY17">_xlfn.IFS(AZ17=MAX(AZ17:BC17),"road",BA17=MAX(AZ17:BC17),"safety",BB17=MAX(AZ17:BC17),"waste",BC17=MAX(AZ17:BC17),"water")</f>
        <v>safety</v>
      </c>
      <c r="AZ17" s="2">
        <f t="shared" si="28"/>
        <v>0.33421976414461529</v>
      </c>
      <c r="BA17" s="2">
        <f t="shared" si="29"/>
        <v>0.41856940826659128</v>
      </c>
      <c r="BB17" s="2">
        <f t="shared" si="30"/>
        <v>0.2646603181674928</v>
      </c>
      <c r="BC17" s="2">
        <f t="shared" si="31"/>
        <v>0.26056550053020017</v>
      </c>
      <c r="BD17" s="2"/>
      <c r="BF17" s="2">
        <f t="shared" si="32"/>
        <v>0.43361987549871195</v>
      </c>
      <c r="BG17" s="2">
        <f t="shared" si="33"/>
        <v>0.64557691472354795</v>
      </c>
      <c r="BH17" s="2">
        <f t="shared" si="34"/>
        <v>0.45162509804156203</v>
      </c>
      <c r="BI17" s="2">
        <f t="shared" si="35"/>
        <v>0.46917811173617402</v>
      </c>
      <c r="BK17" s="7" t="e">
        <f t="shared" si="6"/>
        <v>#N/A</v>
      </c>
      <c r="BL17" t="e" cm="1">
        <f t="array" ref="BL17">_xlfn.IFS(BO17=MAX(BO17:BV17),"road",BR17=MAX(BO17:BV17),"water",BT17=MAX(BO17:BV17),"safety",BU17=MAX(BO17:BV17),"waste",BV17=MAX(BO17:BV17),"water")</f>
        <v>#N/A</v>
      </c>
      <c r="BM17">
        <f t="shared" si="7"/>
        <v>0</v>
      </c>
      <c r="BN17" t="str" cm="1">
        <f t="array" ref="BN17">_xlfn.IFS(BO17=MAX(BO17:BR17),"road",BP17=MAX(BO17:BR17),"safety",BQ17=MAX(BO17:BR17),"waste",BR17=MAX(BO17:BR17),"water")</f>
        <v>safety</v>
      </c>
      <c r="BO17" s="1">
        <f t="shared" si="36"/>
        <v>2.0195052715700861</v>
      </c>
      <c r="BP17" s="1">
        <f t="shared" si="37"/>
        <v>2.2523480782956846</v>
      </c>
      <c r="BQ17" s="1">
        <f t="shared" si="38"/>
        <v>1.9706108816767542</v>
      </c>
      <c r="BR17" s="1">
        <f t="shared" si="39"/>
        <v>1.7417476121929651</v>
      </c>
      <c r="BS17" s="1">
        <f t="shared" si="40"/>
        <v>1.8414868949595942</v>
      </c>
      <c r="BT17" s="1">
        <f t="shared" si="41"/>
        <v>1.305977081193304</v>
      </c>
      <c r="BU17" s="1">
        <f t="shared" si="42"/>
        <v>0.66516148553782206</v>
      </c>
      <c r="BV17" s="1">
        <f t="shared" si="43"/>
        <v>0.78981698925704003</v>
      </c>
      <c r="BX17" s="1"/>
      <c r="BY17" s="1"/>
      <c r="BZ17" s="1"/>
      <c r="CA17" s="1"/>
    </row>
    <row r="18" spans="1:79" x14ac:dyDescent="0.25">
      <c r="A18" t="s">
        <v>33</v>
      </c>
      <c r="B18" s="6" t="s">
        <v>17</v>
      </c>
      <c r="C18" t="s">
        <v>17</v>
      </c>
      <c r="D18" t="s">
        <v>15</v>
      </c>
      <c r="E18" t="s">
        <v>17</v>
      </c>
      <c r="F18" t="s">
        <v>17</v>
      </c>
      <c r="G18" s="3">
        <v>0.21525469519792301</v>
      </c>
      <c r="H18" s="3">
        <v>0.20227601374814899</v>
      </c>
      <c r="I18" s="3">
        <v>0.42088877533700497</v>
      </c>
      <c r="J18" s="3">
        <v>0.161580515716921</v>
      </c>
      <c r="K18" s="3">
        <v>0.193961781764943</v>
      </c>
      <c r="L18" s="3">
        <v>0.19353061824093801</v>
      </c>
      <c r="M18" s="3">
        <v>0.418623566267395</v>
      </c>
      <c r="N18" s="3">
        <v>0.193884033726721</v>
      </c>
      <c r="O18" s="11">
        <f t="shared" si="8"/>
        <v>0.42088877533700497</v>
      </c>
      <c r="Q18">
        <f t="shared" si="0"/>
        <v>1</v>
      </c>
      <c r="R18" t="str" cm="1">
        <f t="array" ref="R18">_xlfn.IFS(S18=MAX(S18:V18),"road",T18=MAX(S18:V18),"safety",U18=MAX(S18:V18),"waste",V18=MAX(S18:V18),"water")</f>
        <v>waste</v>
      </c>
      <c r="S18" s="1">
        <f t="shared" si="9"/>
        <v>0.16861617790503969</v>
      </c>
      <c r="T18" s="1">
        <f t="shared" si="10"/>
        <v>0.14496447651950678</v>
      </c>
      <c r="U18" s="1">
        <f t="shared" si="11"/>
        <v>0.32268139442503713</v>
      </c>
      <c r="V18" s="1">
        <f t="shared" si="12"/>
        <v>0.11849237819240875</v>
      </c>
      <c r="W18" s="1"/>
      <c r="X18" s="1">
        <f t="shared" si="13"/>
        <v>0.17133290722569963</v>
      </c>
      <c r="Y18" s="1">
        <f t="shared" si="14"/>
        <v>0.14514796368070351</v>
      </c>
      <c r="Z18" s="1">
        <f t="shared" si="15"/>
        <v>0.2790823775115967</v>
      </c>
      <c r="AA18" s="1">
        <f t="shared" si="16"/>
        <v>0.13571882360870469</v>
      </c>
      <c r="AB18" s="8">
        <f t="shared" si="2"/>
        <v>1</v>
      </c>
      <c r="AC18" t="str" cm="1">
        <f t="array" ref="AC18">_xlfn.IFS(AD18=MAX(AD18:AG18),"road",AE18=MAX(AD18:AG18),"safety",AF18=MAX(AD18:AG18),"waste",AG18=MAX(AD18:AG18),"water")</f>
        <v>waste</v>
      </c>
      <c r="AD18" s="1">
        <f t="shared" si="46"/>
        <v>0.17133290722569963</v>
      </c>
      <c r="AE18" s="1">
        <f t="shared" si="47"/>
        <v>0.14514796368070351</v>
      </c>
      <c r="AF18" s="1">
        <f t="shared" si="48"/>
        <v>0.2790823775115967</v>
      </c>
      <c r="AG18" s="1">
        <f t="shared" si="49"/>
        <v>0.13571882360870469</v>
      </c>
      <c r="AI18" s="8">
        <f t="shared" si="3"/>
        <v>1</v>
      </c>
      <c r="AJ18" t="str" cm="1">
        <f t="array" ref="AJ18">_xlfn.IFS(AK18=MAX(AK18:AN18),"road",AL18=MAX(AK18:AN18),"safety",AM18=MAX(AK18:AN18),"waste",AN18=MAX(AK18:AN18),"water")</f>
        <v>waste</v>
      </c>
      <c r="AK18" s="2">
        <f t="shared" si="45"/>
        <v>0.15456482974628638</v>
      </c>
      <c r="AL18" s="2">
        <f t="shared" si="20"/>
        <v>0.1256358796502392</v>
      </c>
      <c r="AM18" s="2">
        <f t="shared" si="21"/>
        <v>0.26352313878044697</v>
      </c>
      <c r="AN18" s="2">
        <f t="shared" si="22"/>
        <v>9.2819029584053525E-2</v>
      </c>
      <c r="AO18" s="8">
        <f t="shared" si="23"/>
        <v>1</v>
      </c>
      <c r="AP18" t="str" cm="1">
        <f t="array" ref="AP18">_xlfn.IFS(AQ18=MAX(AQ18:AT18),"road",AR18=MAX(AQ18:AT18),"safety",AS18=MAX(AQ18:AT18),"waste",AT18=MAX(AQ18:AT18),"water")</f>
        <v>waste</v>
      </c>
      <c r="AQ18" s="2">
        <f t="shared" si="24"/>
        <v>0.15991071341065299</v>
      </c>
      <c r="AR18" s="2">
        <f t="shared" si="25"/>
        <v>0.13063316731263316</v>
      </c>
      <c r="AS18" s="2">
        <f t="shared" si="26"/>
        <v>0.22791727496780398</v>
      </c>
      <c r="AT18" s="2">
        <f t="shared" si="27"/>
        <v>0.10405109810000691</v>
      </c>
      <c r="AU18" s="2"/>
      <c r="AW18" s="10">
        <f t="shared" si="4"/>
        <v>1</v>
      </c>
      <c r="AX18" s="2">
        <f t="shared" si="5"/>
        <v>0.49144041374825098</v>
      </c>
      <c r="AY18" t="str" cm="1">
        <f t="array" ref="AY18">_xlfn.IFS(AZ18=MAX(AZ18:BC18),"road",BA18=MAX(AZ18:BC18),"safety",BB18=MAX(AZ18:BC18),"waste",BC18=MAX(AZ18:BC18),"water")</f>
        <v>waste</v>
      </c>
      <c r="AZ18" s="2">
        <f t="shared" si="28"/>
        <v>0.31447554315693937</v>
      </c>
      <c r="BA18" s="2">
        <f t="shared" si="29"/>
        <v>0.25626904696287234</v>
      </c>
      <c r="BB18" s="2">
        <f t="shared" si="30"/>
        <v>0.49144041374825098</v>
      </c>
      <c r="BC18" s="2">
        <f t="shared" si="31"/>
        <v>0.19687012768406043</v>
      </c>
      <c r="BD18" s="2"/>
      <c r="BF18" s="2">
        <f t="shared" si="32"/>
        <v>0.409216476962866</v>
      </c>
      <c r="BG18" s="2">
        <f t="shared" si="33"/>
        <v>0.395806631989087</v>
      </c>
      <c r="BH18" s="2">
        <f t="shared" si="34"/>
        <v>0.83951234160439991</v>
      </c>
      <c r="BI18" s="2">
        <f t="shared" si="35"/>
        <v>0.35546454944364203</v>
      </c>
      <c r="BK18" s="7" t="e">
        <f t="shared" si="6"/>
        <v>#N/A</v>
      </c>
      <c r="BL18" t="e" cm="1">
        <f t="array" ref="BL18">_xlfn.IFS(BO18=MAX(BO18:BV18),"road",BR18=MAX(BO18:BV18),"water",BT18=MAX(BO18:BV18),"safety",BU18=MAX(BO18:BV18),"waste",BV18=MAX(BO18:BV18),"water")</f>
        <v>#N/A</v>
      </c>
      <c r="BM18">
        <f t="shared" si="7"/>
        <v>1</v>
      </c>
      <c r="BN18" t="str" cm="1">
        <f t="array" ref="BN18">_xlfn.IFS(BO18=MAX(BO18:BR18),"road",BP18=MAX(BO18:BR18),"safety",BQ18=MAX(BO18:BR18),"waste",BR18=MAX(BO18:BR18),"water")</f>
        <v>waste</v>
      </c>
      <c r="BO18" s="1">
        <f t="shared" si="36"/>
        <v>1.9869664172115968</v>
      </c>
      <c r="BP18" s="1">
        <f t="shared" si="37"/>
        <v>1.4278306852810518</v>
      </c>
      <c r="BQ18" s="1">
        <f t="shared" si="38"/>
        <v>3.6076180743171853</v>
      </c>
      <c r="BR18" s="1">
        <f t="shared" si="39"/>
        <v>1.2118538678769075</v>
      </c>
      <c r="BS18" s="1">
        <f t="shared" si="40"/>
        <v>1.6625295579852257</v>
      </c>
      <c r="BT18" s="1">
        <f t="shared" si="41"/>
        <v>0.77412247296375203</v>
      </c>
      <c r="BU18" s="1">
        <f t="shared" si="42"/>
        <v>1.255870698802185</v>
      </c>
      <c r="BV18" s="1">
        <f t="shared" si="43"/>
        <v>0.64628011242240335</v>
      </c>
      <c r="BX18" s="1"/>
      <c r="BY18" s="1"/>
      <c r="BZ18" s="1"/>
      <c r="CA18" s="1"/>
    </row>
    <row r="19" spans="1:79" x14ac:dyDescent="0.25">
      <c r="A19" t="s">
        <v>34</v>
      </c>
      <c r="B19" s="6" t="s">
        <v>17</v>
      </c>
      <c r="C19" t="s">
        <v>17</v>
      </c>
      <c r="D19" t="s">
        <v>15</v>
      </c>
      <c r="E19" t="s">
        <v>17</v>
      </c>
      <c r="F19" t="s">
        <v>17</v>
      </c>
      <c r="G19" s="3">
        <v>0.199965765243176</v>
      </c>
      <c r="H19" s="2">
        <v>0.19947936811575001</v>
      </c>
      <c r="I19" s="3">
        <v>0.37886013499276999</v>
      </c>
      <c r="J19" s="3">
        <v>0.221694731648303</v>
      </c>
      <c r="K19" s="3">
        <v>0.18378029719087</v>
      </c>
      <c r="L19" s="3">
        <v>0.18506349320304299</v>
      </c>
      <c r="M19" s="3">
        <v>0.37273537947436503</v>
      </c>
      <c r="N19" s="3">
        <v>0.25842083013172001</v>
      </c>
      <c r="O19" s="11">
        <f t="shared" si="8"/>
        <v>0.37886013499276999</v>
      </c>
      <c r="Q19">
        <f t="shared" si="0"/>
        <v>1</v>
      </c>
      <c r="R19" t="str" cm="1">
        <f t="array" ref="R19">_xlfn.IFS(S19=MAX(S19:V19),"road",T19=MAX(S19:V19),"safety",U19=MAX(S19:V19),"waste",V19=MAX(S19:V19),"water")</f>
        <v>waste</v>
      </c>
      <c r="S19" s="1">
        <f t="shared" si="9"/>
        <v>0.15663984944048787</v>
      </c>
      <c r="T19" s="1">
        <f t="shared" si="10"/>
        <v>0.14296021381628751</v>
      </c>
      <c r="U19" s="1">
        <f t="shared" si="11"/>
        <v>0.2904594368277903</v>
      </c>
      <c r="V19" s="1">
        <f t="shared" si="12"/>
        <v>0.16257613654208888</v>
      </c>
      <c r="W19" s="1"/>
      <c r="X19" s="1">
        <f t="shared" si="13"/>
        <v>0.16233926251860181</v>
      </c>
      <c r="Y19" s="1">
        <f t="shared" si="14"/>
        <v>0.13879761990228223</v>
      </c>
      <c r="Z19" s="1">
        <f t="shared" si="15"/>
        <v>0.24849025298291005</v>
      </c>
      <c r="AA19" s="1">
        <f t="shared" si="16"/>
        <v>0.18089458109220399</v>
      </c>
      <c r="AB19" s="8">
        <f t="shared" si="2"/>
        <v>1</v>
      </c>
      <c r="AC19" t="str" cm="1">
        <f t="array" ref="AC19">_xlfn.IFS(AD19=MAX(AD19:AG19),"road",AE19=MAX(AD19:AG19),"safety",AF19=MAX(AD19:AG19),"waste",AG19=MAX(AD19:AG19),"water")</f>
        <v>waste</v>
      </c>
      <c r="AD19" s="1">
        <f t="shared" si="46"/>
        <v>0.16233926251860181</v>
      </c>
      <c r="AE19" s="1">
        <f t="shared" si="47"/>
        <v>0.13879761990228223</v>
      </c>
      <c r="AF19" s="1">
        <f t="shared" si="48"/>
        <v>0.24849025298291005</v>
      </c>
      <c r="AG19" s="1">
        <f t="shared" si="49"/>
        <v>0.18089458109220399</v>
      </c>
      <c r="AI19" s="8">
        <f t="shared" si="3"/>
        <v>1</v>
      </c>
      <c r="AJ19" t="str" cm="1">
        <f t="array" ref="AJ19">_xlfn.IFS(AK19=MAX(AK19:AN19),"road",AL19=MAX(AK19:AN19),"safety",AM19=MAX(AK19:AN19),"waste",AN19=MAX(AK19:AN19),"water")</f>
        <v>waste</v>
      </c>
      <c r="AK19" s="2">
        <f t="shared" si="45"/>
        <v>0.14358652865378055</v>
      </c>
      <c r="AL19" s="2">
        <f t="shared" si="20"/>
        <v>0.12389885197411585</v>
      </c>
      <c r="AM19" s="2">
        <f t="shared" si="21"/>
        <v>0.23720854007602873</v>
      </c>
      <c r="AN19" s="2">
        <f t="shared" si="22"/>
        <v>0.12735130695796962</v>
      </c>
      <c r="AO19" s="8">
        <f t="shared" si="23"/>
        <v>1</v>
      </c>
      <c r="AP19" t="str" cm="1">
        <f t="array" ref="AP19">_xlfn.IFS(AQ19=MAX(AQ19:AT19),"road",AR19=MAX(AQ19:AT19),"safety",AS19=MAX(AQ19:AT19),"waste",AT19=MAX(AQ19:AT19),"water")</f>
        <v>waste</v>
      </c>
      <c r="AQ19" s="2">
        <f t="shared" si="24"/>
        <v>0.1515166450173617</v>
      </c>
      <c r="AR19" s="2">
        <f t="shared" si="25"/>
        <v>0.12491785791205401</v>
      </c>
      <c r="AS19" s="2">
        <f t="shared" si="26"/>
        <v>0.20293370660270987</v>
      </c>
      <c r="AT19" s="2">
        <f t="shared" si="27"/>
        <v>0.13868584550402305</v>
      </c>
      <c r="AU19" s="2"/>
      <c r="AW19" s="10">
        <f t="shared" si="4"/>
        <v>1</v>
      </c>
      <c r="AX19" s="2">
        <f t="shared" si="5"/>
        <v>0.44014224667873858</v>
      </c>
      <c r="AY19" t="str" cm="1">
        <f t="array" ref="AY19">_xlfn.IFS(AZ19=MAX(AZ19:BC19),"road",BA19=MAX(AZ19:BC19),"safety",BB19=MAX(AZ19:BC19),"waste",BC19=MAX(AZ19:BC19),"water")</f>
        <v>waste</v>
      </c>
      <c r="AZ19" s="2">
        <f t="shared" si="28"/>
        <v>0.29510317367114225</v>
      </c>
      <c r="BA19" s="2">
        <f t="shared" si="29"/>
        <v>0.24881670988616986</v>
      </c>
      <c r="BB19" s="2">
        <f t="shared" si="30"/>
        <v>0.44014224667873858</v>
      </c>
      <c r="BC19" s="2">
        <f t="shared" si="31"/>
        <v>0.26603715246199267</v>
      </c>
      <c r="BD19" s="2"/>
      <c r="BF19" s="2">
        <f t="shared" si="32"/>
        <v>0.38374606243404596</v>
      </c>
      <c r="BG19" s="2">
        <f t="shared" si="33"/>
        <v>0.38454286131879301</v>
      </c>
      <c r="BH19" s="2">
        <f t="shared" si="34"/>
        <v>0.75159551446713502</v>
      </c>
      <c r="BI19" s="2">
        <f t="shared" si="35"/>
        <v>0.48011556178002301</v>
      </c>
      <c r="BK19" s="7" t="e">
        <f t="shared" si="6"/>
        <v>#N/A</v>
      </c>
      <c r="BL19" t="e" cm="1">
        <f t="array" ref="BL19">_xlfn.IFS(BO19=MAX(BO19:BV19),"road",BR19=MAX(BO19:BV19),"water",BT19=MAX(BO19:BV19),"safety",BU19=MAX(BO19:BV19),"waste",BV19=MAX(BO19:BV19),"water")</f>
        <v>#N/A</v>
      </c>
      <c r="BM19">
        <f t="shared" si="7"/>
        <v>1</v>
      </c>
      <c r="BN19" t="str" cm="1">
        <f t="array" ref="BN19">_xlfn.IFS(BO19=MAX(BO19:BR19),"road",BP19=MAX(BO19:BR19),"safety",BQ19=MAX(BO19:BR19),"waste",BR19=MAX(BO19:BR19),"water")</f>
        <v>waste</v>
      </c>
      <c r="BO19" s="1">
        <f t="shared" si="36"/>
        <v>1.8458378330139322</v>
      </c>
      <c r="BP19" s="1">
        <f t="shared" si="37"/>
        <v>1.4080896572876471</v>
      </c>
      <c r="BQ19" s="1">
        <f t="shared" si="38"/>
        <v>3.2473725856523141</v>
      </c>
      <c r="BR19" s="1">
        <f t="shared" si="39"/>
        <v>1.6627104873622724</v>
      </c>
      <c r="BS19" s="1">
        <f t="shared" si="40"/>
        <v>1.5752596902074572</v>
      </c>
      <c r="BT19" s="1">
        <f t="shared" si="41"/>
        <v>0.74025397281217198</v>
      </c>
      <c r="BU19" s="1">
        <f t="shared" si="42"/>
        <v>1.1182061384230952</v>
      </c>
      <c r="BV19" s="1">
        <f t="shared" si="43"/>
        <v>0.86140276710573338</v>
      </c>
      <c r="BX19" s="1"/>
      <c r="BY19" s="1"/>
      <c r="BZ19" s="1"/>
      <c r="CA19" s="1"/>
    </row>
    <row r="20" spans="1:79" x14ac:dyDescent="0.25">
      <c r="A20" t="s">
        <v>35</v>
      </c>
      <c r="B20" s="6" t="s">
        <v>17</v>
      </c>
      <c r="C20" t="s">
        <v>17</v>
      </c>
      <c r="D20" t="s">
        <v>15</v>
      </c>
      <c r="E20" t="s">
        <v>17</v>
      </c>
      <c r="F20" t="s">
        <v>17</v>
      </c>
      <c r="G20" s="3">
        <v>0.17976947547234201</v>
      </c>
      <c r="H20" s="3">
        <v>0.22425691440582199</v>
      </c>
      <c r="I20" s="3">
        <v>0.416725726793234</v>
      </c>
      <c r="J20" s="3">
        <v>0.17924788332859901</v>
      </c>
      <c r="K20" s="3">
        <v>0.176137107979635</v>
      </c>
      <c r="L20" s="3">
        <v>0.23292383493924401</v>
      </c>
      <c r="M20" s="3">
        <v>0.38911745844901802</v>
      </c>
      <c r="N20" s="3">
        <v>0.201821598632103</v>
      </c>
      <c r="O20" s="11">
        <f t="shared" si="8"/>
        <v>0.416725726793234</v>
      </c>
      <c r="Q20">
        <f t="shared" si="0"/>
        <v>1</v>
      </c>
      <c r="R20" t="str" cm="1">
        <f t="array" ref="R20">_xlfn.IFS(S20=MAX(S20:V20),"road",T20=MAX(S20:V20),"safety",U20=MAX(S20:V20),"waste",V20=MAX(S20:V20),"water")</f>
        <v>waste</v>
      </c>
      <c r="S20" s="1">
        <f t="shared" si="9"/>
        <v>0.14081942245333456</v>
      </c>
      <c r="T20" s="1">
        <f t="shared" si="10"/>
        <v>0.16071745532417242</v>
      </c>
      <c r="U20" s="1">
        <f t="shared" si="11"/>
        <v>0.31948972387481273</v>
      </c>
      <c r="V20" s="1">
        <f t="shared" si="12"/>
        <v>0.13144844777430595</v>
      </c>
      <c r="W20" s="1"/>
      <c r="X20" s="1">
        <f t="shared" si="13"/>
        <v>0.15558777871534424</v>
      </c>
      <c r="Y20" s="1">
        <f t="shared" si="14"/>
        <v>0.17469287620443302</v>
      </c>
      <c r="Z20" s="1">
        <f t="shared" si="15"/>
        <v>0.25941163896601205</v>
      </c>
      <c r="AA20" s="1">
        <f t="shared" si="16"/>
        <v>0.14127511904247209</v>
      </c>
      <c r="AB20" s="8">
        <f t="shared" si="2"/>
        <v>1</v>
      </c>
      <c r="AC20" t="str" cm="1">
        <f t="array" ref="AC20">_xlfn.IFS(AD20=MAX(AD20:AG20),"road",AE20=MAX(AD20:AG20),"safety",AF20=MAX(AD20:AG20),"waste",AG20=MAX(AD20:AG20),"water")</f>
        <v>waste</v>
      </c>
      <c r="AD20" s="1">
        <f t="shared" si="46"/>
        <v>0.15558777871534424</v>
      </c>
      <c r="AE20" s="1">
        <f t="shared" si="47"/>
        <v>0.17469287620443302</v>
      </c>
      <c r="AF20" s="1">
        <f t="shared" si="48"/>
        <v>0.25941163896601205</v>
      </c>
      <c r="AG20" s="1">
        <f t="shared" si="49"/>
        <v>0.14127511904247209</v>
      </c>
      <c r="AI20" s="8">
        <f t="shared" si="3"/>
        <v>1</v>
      </c>
      <c r="AJ20" t="str" cm="1">
        <f t="array" ref="AJ20">_xlfn.IFS(AK20=MAX(AK20:AN20),"road",AL20=MAX(AK20:AN20),"safety",AM20=MAX(AK20:AN20),"waste",AN20=MAX(AK20:AN20),"water")</f>
        <v>waste</v>
      </c>
      <c r="AK20" s="2">
        <f t="shared" si="45"/>
        <v>0.12908447058222333</v>
      </c>
      <c r="AL20" s="2">
        <f t="shared" si="20"/>
        <v>0.13928846128094943</v>
      </c>
      <c r="AM20" s="2">
        <f t="shared" si="21"/>
        <v>0.26091660783109705</v>
      </c>
      <c r="AN20" s="2">
        <f t="shared" si="22"/>
        <v>0.10296795075653965</v>
      </c>
      <c r="AO20" s="8">
        <f t="shared" si="23"/>
        <v>1</v>
      </c>
      <c r="AP20" t="str" cm="1">
        <f t="array" ref="AP20">_xlfn.IFS(AQ20=MAX(AQ20:AT20),"road",AR20=MAX(AQ20:AT20),"safety",AS20=MAX(AQ20:AT20),"waste",AT20=MAX(AQ20:AT20),"water")</f>
        <v>waste</v>
      </c>
      <c r="AQ20" s="2">
        <f t="shared" si="24"/>
        <v>0.14521526013432129</v>
      </c>
      <c r="AR20" s="2">
        <f t="shared" si="25"/>
        <v>0.15722358858398972</v>
      </c>
      <c r="AS20" s="2">
        <f t="shared" si="26"/>
        <v>0.21185283848890984</v>
      </c>
      <c r="AT20" s="2">
        <f t="shared" si="27"/>
        <v>0.10831092459922859</v>
      </c>
      <c r="AU20" s="2"/>
      <c r="AW20" s="10">
        <f t="shared" si="4"/>
        <v>1</v>
      </c>
      <c r="AX20" s="2">
        <f t="shared" si="5"/>
        <v>0.47276944632000689</v>
      </c>
      <c r="AY20" t="str" cm="1">
        <f t="array" ref="AY20">_xlfn.IFS(AZ20=MAX(AZ20:BC20),"road",BA20=MAX(AZ20:BC20),"safety",BB20=MAX(AZ20:BC20),"waste",BC20=MAX(AZ20:BC20),"water")</f>
        <v>waste</v>
      </c>
      <c r="AZ20" s="2">
        <f t="shared" si="28"/>
        <v>0.27429973071654462</v>
      </c>
      <c r="BA20" s="2">
        <f t="shared" si="29"/>
        <v>0.29651204986493918</v>
      </c>
      <c r="BB20" s="2">
        <f t="shared" si="30"/>
        <v>0.47276944632000689</v>
      </c>
      <c r="BC20" s="2">
        <f t="shared" si="31"/>
        <v>0.21127887535576823</v>
      </c>
      <c r="BD20" s="2"/>
      <c r="BF20" s="2">
        <f t="shared" si="32"/>
        <v>0.35590658345197701</v>
      </c>
      <c r="BG20" s="2">
        <f t="shared" si="33"/>
        <v>0.45718074934506603</v>
      </c>
      <c r="BH20" s="2">
        <f t="shared" si="34"/>
        <v>0.80584318524225207</v>
      </c>
      <c r="BI20" s="2">
        <f t="shared" si="35"/>
        <v>0.38106948196070201</v>
      </c>
      <c r="BK20" s="7" t="e">
        <f t="shared" si="6"/>
        <v>#N/A</v>
      </c>
      <c r="BL20" t="e" cm="1">
        <f t="array" ref="BL20">_xlfn.IFS(BO20=MAX(BO20:BV20),"road",BR20=MAX(BO20:BV20),"water",BT20=MAX(BO20:BV20),"safety",BU20=MAX(BO20:BV20),"waste",BV20=MAX(BO20:BV20),"water")</f>
        <v>#N/A</v>
      </c>
      <c r="BM20">
        <f t="shared" si="7"/>
        <v>1</v>
      </c>
      <c r="BN20" t="str" cm="1">
        <f t="array" ref="BN20">_xlfn.IFS(BO20=MAX(BO20:BR20),"road",BP20=MAX(BO20:BR20),"safety",BQ20=MAX(BO20:BR20),"waste",BR20=MAX(BO20:BR20),"water")</f>
        <v>waste</v>
      </c>
      <c r="BO20" s="1">
        <f t="shared" si="36"/>
        <v>1.6594105428216186</v>
      </c>
      <c r="BP20" s="1">
        <f t="shared" si="37"/>
        <v>1.5829899840410964</v>
      </c>
      <c r="BQ20" s="1">
        <f t="shared" si="38"/>
        <v>3.5719348010848626</v>
      </c>
      <c r="BR20" s="1">
        <f t="shared" si="39"/>
        <v>1.3443591249644926</v>
      </c>
      <c r="BS20" s="1">
        <f t="shared" si="40"/>
        <v>1.5097466398254429</v>
      </c>
      <c r="BT20" s="1">
        <f t="shared" si="41"/>
        <v>0.93169533975697605</v>
      </c>
      <c r="BU20" s="1">
        <f t="shared" si="42"/>
        <v>1.167352375347054</v>
      </c>
      <c r="BV20" s="1">
        <f t="shared" si="43"/>
        <v>0.67273866210701005</v>
      </c>
      <c r="BX20" s="1"/>
      <c r="BY20" s="1"/>
      <c r="BZ20" s="1"/>
      <c r="CA20" s="1"/>
    </row>
    <row r="21" spans="1:79" x14ac:dyDescent="0.25">
      <c r="A21" t="s">
        <v>36</v>
      </c>
      <c r="B21" s="6" t="s">
        <v>17</v>
      </c>
      <c r="C21" t="s">
        <v>17</v>
      </c>
      <c r="D21" t="s">
        <v>15</v>
      </c>
      <c r="E21" t="s">
        <v>17</v>
      </c>
      <c r="F21" t="s">
        <v>17</v>
      </c>
      <c r="G21" s="3">
        <v>0.227526877326789</v>
      </c>
      <c r="H21" s="3">
        <v>0.22261077452375799</v>
      </c>
      <c r="I21" s="3">
        <v>0.36607481946979398</v>
      </c>
      <c r="J21" s="3">
        <v>0.183787528679657</v>
      </c>
      <c r="K21" s="3">
        <v>0.20949710032031399</v>
      </c>
      <c r="L21" s="3">
        <v>0.210343982715154</v>
      </c>
      <c r="M21" s="3">
        <v>0.37033366928669798</v>
      </c>
      <c r="N21" s="3">
        <v>0.20982524767783201</v>
      </c>
      <c r="O21" s="11">
        <f t="shared" si="8"/>
        <v>0.36607481946979398</v>
      </c>
      <c r="Q21">
        <f t="shared" si="0"/>
        <v>1</v>
      </c>
      <c r="R21" t="str" cm="1">
        <f t="array" ref="R21">_xlfn.IFS(S21=MAX(S21:V21),"road",T21=MAX(S21:V21),"safety",U21=MAX(S21:V21),"waste",V21=MAX(S21:V21),"water")</f>
        <v>waste</v>
      </c>
      <c r="S21" s="1">
        <f t="shared" si="9"/>
        <v>0.17822938723931805</v>
      </c>
      <c r="T21" s="1">
        <f t="shared" si="10"/>
        <v>0.15953772174202657</v>
      </c>
      <c r="U21" s="1">
        <f t="shared" si="11"/>
        <v>0.28065736159350868</v>
      </c>
      <c r="V21" s="1">
        <f t="shared" si="12"/>
        <v>0.13477752103174848</v>
      </c>
      <c r="W21" s="1"/>
      <c r="X21" s="1">
        <f t="shared" si="13"/>
        <v>0.18505577194961068</v>
      </c>
      <c r="Y21" s="1">
        <f t="shared" si="14"/>
        <v>0.15775798703636551</v>
      </c>
      <c r="Z21" s="1">
        <f t="shared" si="15"/>
        <v>0.24688911285779869</v>
      </c>
      <c r="AA21" s="1">
        <f t="shared" si="16"/>
        <v>0.1468776733744824</v>
      </c>
      <c r="AB21" s="8">
        <f t="shared" si="2"/>
        <v>1</v>
      </c>
      <c r="AC21" t="str" cm="1">
        <f t="array" ref="AC21">_xlfn.IFS(AD21=MAX(AD21:AG21),"road",AE21=MAX(AD21:AG21),"safety",AF21=MAX(AD21:AG21),"waste",AG21=MAX(AD21:AG21),"water")</f>
        <v>waste</v>
      </c>
      <c r="AD21" s="1">
        <f t="shared" si="46"/>
        <v>0.18505577194961068</v>
      </c>
      <c r="AE21" s="1">
        <f t="shared" si="47"/>
        <v>0.15775798703636551</v>
      </c>
      <c r="AF21" s="1">
        <f t="shared" si="48"/>
        <v>0.24688911285779869</v>
      </c>
      <c r="AG21" s="1">
        <f t="shared" si="49"/>
        <v>0.1468776733744824</v>
      </c>
      <c r="AI21" s="8">
        <f t="shared" si="3"/>
        <v>1</v>
      </c>
      <c r="AJ21" t="str" cm="1">
        <f t="array" ref="AJ21">_xlfn.IFS(AK21=MAX(AK21:AN21),"road",AL21=MAX(AK21:AN21),"safety",AM21=MAX(AK21:AN21),"waste",AN21=MAX(AK21:AN21),"water")</f>
        <v>waste</v>
      </c>
      <c r="AK21" s="2">
        <f t="shared" si="45"/>
        <v>0.16337693830270822</v>
      </c>
      <c r="AL21" s="2">
        <f t="shared" si="20"/>
        <v>0.13826602550975636</v>
      </c>
      <c r="AM21" s="2">
        <f t="shared" si="21"/>
        <v>0.2292035119680321</v>
      </c>
      <c r="AN21" s="2">
        <f t="shared" si="22"/>
        <v>0.10557572480820297</v>
      </c>
      <c r="AO21" s="8">
        <f t="shared" si="23"/>
        <v>1</v>
      </c>
      <c r="AP21" t="str" cm="1">
        <f t="array" ref="AP21">_xlfn.IFS(AQ21=MAX(AQ21:AT21),"road",AR21=MAX(AQ21:AT21),"safety",AS21=MAX(AQ21:AT21),"waste",AT21=MAX(AQ21:AT21),"water")</f>
        <v>waste</v>
      </c>
      <c r="AQ21" s="2">
        <f t="shared" si="24"/>
        <v>0.1727187204863033</v>
      </c>
      <c r="AR21" s="2">
        <f t="shared" si="25"/>
        <v>0.14198218833272896</v>
      </c>
      <c r="AS21" s="2">
        <f t="shared" si="26"/>
        <v>0.20162610883386892</v>
      </c>
      <c r="AT21" s="2">
        <f t="shared" si="27"/>
        <v>0.11260621625376983</v>
      </c>
      <c r="AU21" s="2"/>
      <c r="AW21" s="10">
        <f t="shared" si="4"/>
        <v>1</v>
      </c>
      <c r="AX21" s="2">
        <f t="shared" si="5"/>
        <v>0.43082962080190101</v>
      </c>
      <c r="AY21" t="str" cm="1">
        <f t="array" ref="AY21">_xlfn.IFS(AZ21=MAX(AZ21:BC21),"road",BA21=MAX(AZ21:BC21),"safety",BB21=MAX(AZ21:BC21),"waste",BC21=MAX(AZ21:BC21),"water")</f>
        <v>waste</v>
      </c>
      <c r="AZ21" s="2">
        <f t="shared" si="28"/>
        <v>0.33609565878901149</v>
      </c>
      <c r="BA21" s="2">
        <f t="shared" si="29"/>
        <v>0.28024821384248533</v>
      </c>
      <c r="BB21" s="2">
        <f t="shared" si="30"/>
        <v>0.43082962080190101</v>
      </c>
      <c r="BC21" s="2">
        <f t="shared" si="31"/>
        <v>0.21818194106197281</v>
      </c>
      <c r="BD21" s="2"/>
      <c r="BF21" s="2">
        <f t="shared" si="32"/>
        <v>0.43702397764710299</v>
      </c>
      <c r="BG21" s="2">
        <f t="shared" si="33"/>
        <v>0.43295475723891197</v>
      </c>
      <c r="BH21" s="2">
        <f t="shared" si="34"/>
        <v>0.7364084887564919</v>
      </c>
      <c r="BI21" s="2">
        <f t="shared" si="35"/>
        <v>0.39361277635748904</v>
      </c>
      <c r="BK21" s="7" t="e">
        <f t="shared" si="6"/>
        <v>#N/A</v>
      </c>
      <c r="BL21" t="e" cm="1">
        <f t="array" ref="BL21">_xlfn.IFS(BO21=MAX(BO21:BV21),"road",BR21=MAX(BO21:BV21),"water",BT21=MAX(BO21:BV21),"safety",BU21=MAX(BO21:BV21),"waste",BV21=MAX(BO21:BV21),"water")</f>
        <v>#N/A</v>
      </c>
      <c r="BM21">
        <f t="shared" si="7"/>
        <v>1</v>
      </c>
      <c r="BN21" t="str" cm="1">
        <f t="array" ref="BN21">_xlfn.IFS(BO21=MAX(BO21:BR21),"road",BP21=MAX(BO21:BR21),"safety",BQ21=MAX(BO21:BR21),"waste",BR21=MAX(BO21:BR21),"water")</f>
        <v>waste</v>
      </c>
      <c r="BO21" s="1">
        <f t="shared" si="36"/>
        <v>2.1002480984011291</v>
      </c>
      <c r="BP21" s="1">
        <f t="shared" si="37"/>
        <v>1.5713701731088801</v>
      </c>
      <c r="BQ21" s="1">
        <f t="shared" si="38"/>
        <v>3.1377841668839483</v>
      </c>
      <c r="BR21" s="1">
        <f t="shared" si="39"/>
        <v>1.3784064650974275</v>
      </c>
      <c r="BS21" s="1">
        <f t="shared" si="40"/>
        <v>1.7956894313169771</v>
      </c>
      <c r="BT21" s="1">
        <f t="shared" si="41"/>
        <v>0.84137593086061602</v>
      </c>
      <c r="BU21" s="1">
        <f t="shared" si="42"/>
        <v>1.111001007860094</v>
      </c>
      <c r="BV21" s="1">
        <f t="shared" si="43"/>
        <v>0.69941749225944005</v>
      </c>
      <c r="BX21" s="1"/>
      <c r="BY21" s="1"/>
      <c r="BZ21" s="1"/>
      <c r="CA21" s="1"/>
    </row>
    <row r="22" spans="1:79" x14ac:dyDescent="0.25">
      <c r="A22" t="s">
        <v>37</v>
      </c>
      <c r="B22" s="6" t="s">
        <v>17</v>
      </c>
      <c r="C22" t="s">
        <v>24</v>
      </c>
      <c r="D22" t="s">
        <v>18</v>
      </c>
      <c r="E22" t="s">
        <v>17</v>
      </c>
      <c r="F22" t="s">
        <v>24</v>
      </c>
      <c r="G22" s="3">
        <v>0.213044698730427</v>
      </c>
      <c r="H22" s="3">
        <v>0.25859014877997599</v>
      </c>
      <c r="I22" s="3">
        <v>0.27717940434194399</v>
      </c>
      <c r="J22" s="3">
        <v>0.25118574814765099</v>
      </c>
      <c r="K22" s="3">
        <v>0.19229265052856101</v>
      </c>
      <c r="L22" s="3">
        <v>0.29086480019133698</v>
      </c>
      <c r="M22" s="3">
        <v>0.28816038380579201</v>
      </c>
      <c r="N22" s="3">
        <v>0.228682165474309</v>
      </c>
      <c r="O22" s="11">
        <f t="shared" si="8"/>
        <v>0.27717940434194399</v>
      </c>
      <c r="Q22">
        <f t="shared" si="0"/>
        <v>1</v>
      </c>
      <c r="R22" t="str" cm="1">
        <f t="array" ref="R22">_xlfn.IFS(S22=MAX(S22:V22),"road",T22=MAX(S22:V22),"safety",U22=MAX(S22:V22),"waste",V22=MAX(S22:V22),"water")</f>
        <v>waste</v>
      </c>
      <c r="S22" s="1">
        <f t="shared" si="9"/>
        <v>0.16688501400550115</v>
      </c>
      <c r="T22" s="1">
        <f t="shared" si="10"/>
        <v>0.1853229399589828</v>
      </c>
      <c r="U22" s="1">
        <f t="shared" si="11"/>
        <v>0.21250420999549038</v>
      </c>
      <c r="V22" s="1">
        <f t="shared" si="12"/>
        <v>0.18420288197494408</v>
      </c>
      <c r="W22" s="1"/>
      <c r="X22" s="1">
        <f t="shared" si="13"/>
        <v>0.16985850796689556</v>
      </c>
      <c r="Y22" s="1">
        <f t="shared" si="14"/>
        <v>0.21814860014350274</v>
      </c>
      <c r="Z22" s="1">
        <f t="shared" si="15"/>
        <v>0.19210692253719469</v>
      </c>
      <c r="AA22" s="1">
        <f t="shared" si="16"/>
        <v>0.16007751583201629</v>
      </c>
      <c r="AB22" s="8">
        <f t="shared" si="2"/>
        <v>0</v>
      </c>
      <c r="AC22" t="str" cm="1">
        <f t="array" ref="AC22">_xlfn.IFS(AD22=MAX(AD22:AG22),"road",AE22=MAX(AD22:AG22),"safety",AF22=MAX(AD22:AG22),"waste",AG22=MAX(AD22:AG22),"water")</f>
        <v>safety</v>
      </c>
      <c r="AD22" s="1">
        <f t="shared" si="46"/>
        <v>0.16985850796689556</v>
      </c>
      <c r="AE22" s="1">
        <f t="shared" si="47"/>
        <v>0.21814860014350274</v>
      </c>
      <c r="AF22" s="1">
        <f t="shared" si="48"/>
        <v>0.19210692253719469</v>
      </c>
      <c r="AG22" s="1">
        <f t="shared" si="49"/>
        <v>0.16007751583201629</v>
      </c>
      <c r="AI22" s="8">
        <f t="shared" si="3"/>
        <v>1</v>
      </c>
      <c r="AJ22" t="str" cm="1">
        <f t="array" ref="AJ22">_xlfn.IFS(AK22=MAX(AK22:AN22),"road",AL22=MAX(AK22:AN22),"safety",AM22=MAX(AK22:AN22),"waste",AN22=MAX(AK22:AN22),"water")</f>
        <v>waste</v>
      </c>
      <c r="AK22" s="2">
        <f t="shared" si="45"/>
        <v>0.15297792950504271</v>
      </c>
      <c r="AL22" s="2">
        <f t="shared" si="20"/>
        <v>0.16061321463111844</v>
      </c>
      <c r="AM22" s="2">
        <f t="shared" si="21"/>
        <v>0.17354510482965047</v>
      </c>
      <c r="AN22" s="2">
        <f t="shared" si="22"/>
        <v>0.14429225754703953</v>
      </c>
      <c r="AO22" s="8">
        <f t="shared" si="23"/>
        <v>0</v>
      </c>
      <c r="AP22" t="str" cm="1">
        <f t="array" ref="AP22">_xlfn.IFS(AQ22=MAX(AQ22:AT22),"road",AR22=MAX(AQ22:AT22),"safety",AS22=MAX(AQ22:AT22),"waste",AT22=MAX(AQ22:AT22),"water")</f>
        <v>safety</v>
      </c>
      <c r="AQ22" s="2">
        <f t="shared" si="24"/>
        <v>0.15853460743576919</v>
      </c>
      <c r="AR22" s="2">
        <f t="shared" si="25"/>
        <v>0.19633374012915247</v>
      </c>
      <c r="AS22" s="2">
        <f t="shared" si="26"/>
        <v>0.15688732007204234</v>
      </c>
      <c r="AT22" s="2">
        <f t="shared" si="27"/>
        <v>0.12272609547121248</v>
      </c>
      <c r="AU22" s="2"/>
      <c r="AW22" s="10">
        <f t="shared" si="4"/>
        <v>0</v>
      </c>
      <c r="AX22" s="2">
        <f t="shared" si="5"/>
        <v>0.35694695476027094</v>
      </c>
      <c r="AY22" t="str" cm="1">
        <f t="array" ref="AY22">_xlfn.IFS(AZ22=MAX(AZ22:BC22),"road",BA22=MAX(AZ22:BC22),"safety",BB22=MAX(AZ22:BC22),"waste",BC22=MAX(AZ22:BC22),"water")</f>
        <v>safety</v>
      </c>
      <c r="AZ22" s="2">
        <f t="shared" si="28"/>
        <v>0.31151253694081193</v>
      </c>
      <c r="BA22" s="2">
        <f t="shared" si="29"/>
        <v>0.35694695476027094</v>
      </c>
      <c r="BB22" s="2">
        <f t="shared" si="30"/>
        <v>0.33043242490169278</v>
      </c>
      <c r="BC22" s="2">
        <f t="shared" si="31"/>
        <v>0.267018353018252</v>
      </c>
      <c r="BD22" s="2"/>
      <c r="BF22" s="2">
        <f t="shared" si="32"/>
        <v>0.40533734925898801</v>
      </c>
      <c r="BG22" s="2">
        <f t="shared" si="33"/>
        <v>0.54945494897131297</v>
      </c>
      <c r="BH22" s="2">
        <f t="shared" si="34"/>
        <v>0.565339788147736</v>
      </c>
      <c r="BI22" s="2">
        <f t="shared" si="35"/>
        <v>0.47986791362196002</v>
      </c>
      <c r="BK22" s="7" t="e">
        <f t="shared" si="6"/>
        <v>#N/A</v>
      </c>
      <c r="BL22" t="e" cm="1">
        <f t="array" ref="BL22">_xlfn.IFS(BO22=MAX(BO22:BV22),"road",BR22=MAX(BO22:BV22),"water",BT22=MAX(BO22:BV22),"safety",BU22=MAX(BO22:BV22),"waste",BV22=MAX(BO22:BV22),"water")</f>
        <v>#N/A</v>
      </c>
      <c r="BM22">
        <f t="shared" si="7"/>
        <v>1</v>
      </c>
      <c r="BN22" t="str" cm="1">
        <f t="array" ref="BN22">_xlfn.IFS(BO22=MAX(BO22:BR22),"road",BP22=MAX(BO22:BR22),"safety",BQ22=MAX(BO22:BR22),"waste",BR22=MAX(BO22:BR22),"water")</f>
        <v>waste</v>
      </c>
      <c r="BO22" s="1">
        <f t="shared" si="36"/>
        <v>1.966566449819326</v>
      </c>
      <c r="BP22" s="1">
        <f t="shared" si="37"/>
        <v>1.8253422266821835</v>
      </c>
      <c r="BQ22" s="1">
        <f t="shared" si="38"/>
        <v>2.3758234657880912</v>
      </c>
      <c r="BR22" s="1">
        <f t="shared" si="39"/>
        <v>1.8838931111073824</v>
      </c>
      <c r="BS22" s="1">
        <f t="shared" si="40"/>
        <v>1.6482227188162373</v>
      </c>
      <c r="BT22" s="1">
        <f t="shared" si="41"/>
        <v>1.1634592007653479</v>
      </c>
      <c r="BU22" s="1">
        <f t="shared" si="42"/>
        <v>0.86448115141737603</v>
      </c>
      <c r="BV22" s="1">
        <f t="shared" si="43"/>
        <v>0.76227388491436332</v>
      </c>
      <c r="BX22" s="1"/>
      <c r="BY22" s="1"/>
      <c r="BZ22" s="1"/>
      <c r="CA22" s="1"/>
    </row>
    <row r="23" spans="1:79" x14ac:dyDescent="0.25">
      <c r="A23" t="s">
        <v>38</v>
      </c>
      <c r="B23" s="6" t="s">
        <v>22</v>
      </c>
      <c r="C23" t="s">
        <v>22</v>
      </c>
      <c r="D23" t="s">
        <v>15</v>
      </c>
      <c r="E23" t="s">
        <v>22</v>
      </c>
      <c r="F23" t="s">
        <v>22</v>
      </c>
      <c r="G23" s="3">
        <v>0.227001701940688</v>
      </c>
      <c r="H23" s="3">
        <v>0.15651883888387599</v>
      </c>
      <c r="I23" s="3">
        <v>0.166069694710795</v>
      </c>
      <c r="J23" s="3">
        <v>0.45040976446463898</v>
      </c>
      <c r="K23" s="3">
        <v>0.225696540225239</v>
      </c>
      <c r="L23" s="3">
        <v>0.180387898446252</v>
      </c>
      <c r="M23" s="3">
        <v>0.19325217973647599</v>
      </c>
      <c r="N23" s="3">
        <v>0.40066338159203002</v>
      </c>
      <c r="O23" s="11">
        <f t="shared" si="8"/>
        <v>0.45040976446463898</v>
      </c>
      <c r="Q23">
        <f t="shared" si="0"/>
        <v>1</v>
      </c>
      <c r="R23" t="str" cm="1">
        <f t="array" ref="R23">_xlfn.IFS(S23=MAX(S23:V23),"road",T23=MAX(S23:V23),"safety",U23=MAX(S23:V23),"waste",V23=MAX(S23:V23),"water")</f>
        <v>water</v>
      </c>
      <c r="S23" s="1">
        <f t="shared" si="9"/>
        <v>0.17781799985353894</v>
      </c>
      <c r="T23" s="1">
        <f t="shared" si="10"/>
        <v>0.11217183453344447</v>
      </c>
      <c r="U23" s="1">
        <f t="shared" si="11"/>
        <v>0.12732009927827614</v>
      </c>
      <c r="V23" s="1">
        <f t="shared" si="12"/>
        <v>0.3303004939407353</v>
      </c>
      <c r="W23" s="1"/>
      <c r="X23" s="1">
        <f t="shared" si="13"/>
        <v>0.1993652771989611</v>
      </c>
      <c r="Y23" s="1">
        <f t="shared" si="14"/>
        <v>0.13529092383468899</v>
      </c>
      <c r="Z23" s="1">
        <f t="shared" si="15"/>
        <v>0.12883478649098401</v>
      </c>
      <c r="AA23" s="1">
        <f t="shared" si="16"/>
        <v>0.28046436711442102</v>
      </c>
      <c r="AB23" s="8">
        <f t="shared" si="2"/>
        <v>1</v>
      </c>
      <c r="AC23" t="str" cm="1">
        <f t="array" ref="AC23">_xlfn.IFS(AD23=MAX(AD23:AG23),"road",AE23=MAX(AD23:AG23),"safety",AF23=MAX(AD23:AG23),"waste",AG23=MAX(AD23:AG23),"water")</f>
        <v>water</v>
      </c>
      <c r="AD23" s="1">
        <f t="shared" si="46"/>
        <v>0.1993652771989611</v>
      </c>
      <c r="AE23" s="1">
        <f t="shared" si="47"/>
        <v>0.13529092383468899</v>
      </c>
      <c r="AF23" s="1">
        <f t="shared" si="48"/>
        <v>0.12883478649098401</v>
      </c>
      <c r="AG23" s="1">
        <f t="shared" si="49"/>
        <v>0.28046436711442102</v>
      </c>
      <c r="AI23" s="8">
        <f t="shared" si="3"/>
        <v>1</v>
      </c>
      <c r="AJ23" t="str" cm="1">
        <f t="array" ref="AJ23">_xlfn.IFS(AK23=MAX(AK23:AN23),"road",AL23=MAX(AK23:AN23),"safety",AM23=MAX(AK23:AN23),"waste",AN23=MAX(AK23:AN23),"water")</f>
        <v>water</v>
      </c>
      <c r="AK23" s="2">
        <f t="shared" si="45"/>
        <v>0.16299983319907735</v>
      </c>
      <c r="AL23" s="2">
        <f t="shared" si="20"/>
        <v>9.7215589928985213E-2</v>
      </c>
      <c r="AM23" s="2">
        <f t="shared" si="21"/>
        <v>0.10397808107725885</v>
      </c>
      <c r="AN23" s="2">
        <f t="shared" si="22"/>
        <v>0.25873538692024267</v>
      </c>
      <c r="AO23" s="8">
        <f t="shared" si="23"/>
        <v>1</v>
      </c>
      <c r="AP23" t="str" cm="1">
        <f t="array" ref="AP23">_xlfn.IFS(AQ23=MAX(AQ23:AT23),"road",AR23=MAX(AQ23:AT23),"safety",AS23=MAX(AQ23:AT23),"waste",AT23=MAX(AQ23:AT23),"water")</f>
        <v>water</v>
      </c>
      <c r="AQ23" s="2">
        <f t="shared" si="24"/>
        <v>0.18607425871903036</v>
      </c>
      <c r="AR23" s="2">
        <f t="shared" si="25"/>
        <v>0.12176183145122009</v>
      </c>
      <c r="AS23" s="2">
        <f t="shared" si="26"/>
        <v>0.1052150756343036</v>
      </c>
      <c r="AT23" s="2">
        <f t="shared" si="27"/>
        <v>0.21502268145438944</v>
      </c>
      <c r="AU23" s="2"/>
      <c r="AW23" s="10">
        <f t="shared" si="4"/>
        <v>1</v>
      </c>
      <c r="AX23" s="2">
        <f t="shared" si="5"/>
        <v>0.47375806837463208</v>
      </c>
      <c r="AY23" t="str" cm="1">
        <f t="array" ref="AY23">_xlfn.IFS(AZ23=MAX(AZ23:BC23),"road",BA23=MAX(AZ23:BC23),"safety",BB23=MAX(AZ23:BC23),"waste",BC23=MAX(AZ23:BC23),"water")</f>
        <v>water</v>
      </c>
      <c r="AZ23" s="2">
        <f t="shared" si="28"/>
        <v>0.34907409191810768</v>
      </c>
      <c r="BA23" s="2">
        <f t="shared" si="29"/>
        <v>0.21897742138020532</v>
      </c>
      <c r="BB23" s="2">
        <f t="shared" si="30"/>
        <v>0.20919315671156247</v>
      </c>
      <c r="BC23" s="2">
        <f t="shared" si="31"/>
        <v>0.47375806837463208</v>
      </c>
      <c r="BD23" s="2"/>
      <c r="BF23" s="2">
        <f t="shared" si="32"/>
        <v>0.45269824216592702</v>
      </c>
      <c r="BG23" s="2">
        <f t="shared" si="33"/>
        <v>0.33690673733012799</v>
      </c>
      <c r="BH23" s="2">
        <f t="shared" si="34"/>
        <v>0.35932187444727098</v>
      </c>
      <c r="BI23" s="2">
        <f t="shared" si="35"/>
        <v>0.85107314605666895</v>
      </c>
      <c r="BK23" s="7">
        <f t="shared" si="6"/>
        <v>1</v>
      </c>
      <c r="BL23" t="str" cm="1">
        <f t="array" ref="BL23">_xlfn.IFS(BO23=MAX(BO23:BV23),"road",BR23=MAX(BO23:BV23),"water",BT23=MAX(BO23:BV23),"safety",BU23=MAX(BO23:BV23),"waste",BV23=MAX(BO23:BV23),"water")</f>
        <v>water</v>
      </c>
      <c r="BM23">
        <f t="shared" si="7"/>
        <v>1</v>
      </c>
      <c r="BN23" t="str" cm="1">
        <f t="array" ref="BN23">_xlfn.IFS(BO23=MAX(BO23:BR23),"road",BP23=MAX(BO23:BR23),"safety",BQ23=MAX(BO23:BR23),"waste",BR23=MAX(BO23:BR23),"water")</f>
        <v>water</v>
      </c>
      <c r="BO23" s="1">
        <f t="shared" si="36"/>
        <v>2.0954003256063505</v>
      </c>
      <c r="BP23" s="1">
        <f t="shared" si="37"/>
        <v>1.104838862709713</v>
      </c>
      <c r="BQ23" s="1">
        <f t="shared" si="38"/>
        <v>1.4234545260925284</v>
      </c>
      <c r="BR23" s="1">
        <f t="shared" si="39"/>
        <v>3.3780732334847925</v>
      </c>
      <c r="BS23" s="1">
        <f t="shared" si="40"/>
        <v>1.9345417733591914</v>
      </c>
      <c r="BT23" s="1">
        <f t="shared" si="41"/>
        <v>0.72155159378500799</v>
      </c>
      <c r="BU23" s="1">
        <f t="shared" si="42"/>
        <v>0.57975653920942805</v>
      </c>
      <c r="BV23" s="1">
        <f t="shared" si="43"/>
        <v>1.3355446053067668</v>
      </c>
      <c r="BX23" s="1"/>
      <c r="BY23" s="1"/>
      <c r="BZ23" s="1"/>
      <c r="CA23" s="1"/>
    </row>
    <row r="24" spans="1:79" x14ac:dyDescent="0.25">
      <c r="A24" t="s">
        <v>39</v>
      </c>
      <c r="B24" s="6" t="s">
        <v>22</v>
      </c>
      <c r="C24" t="s">
        <v>22</v>
      </c>
      <c r="D24" t="s">
        <v>15</v>
      </c>
      <c r="E24" t="s">
        <v>22</v>
      </c>
      <c r="F24" t="s">
        <v>22</v>
      </c>
      <c r="G24" s="3">
        <v>0.16462580017043599</v>
      </c>
      <c r="H24" s="3">
        <v>0.16873707874434801</v>
      </c>
      <c r="I24" s="3">
        <v>0.188899688374393</v>
      </c>
      <c r="J24" s="3">
        <v>0.47773743271082098</v>
      </c>
      <c r="K24" s="3">
        <v>0.18941922979633499</v>
      </c>
      <c r="L24" s="3">
        <v>0.19048456110810399</v>
      </c>
      <c r="M24" s="3">
        <v>0.264867406350343</v>
      </c>
      <c r="N24" s="3">
        <v>0.35522880274521601</v>
      </c>
      <c r="O24" s="11">
        <f t="shared" si="8"/>
        <v>0.47773743271082098</v>
      </c>
      <c r="Q24">
        <f t="shared" si="0"/>
        <v>1</v>
      </c>
      <c r="R24" t="str" cm="1">
        <f t="array" ref="R24">_xlfn.IFS(S24=MAX(S24:V24),"road",T24=MAX(S24:V24),"safety",U24=MAX(S24:V24),"waste",V24=MAX(S24:V24),"water")</f>
        <v>water</v>
      </c>
      <c r="S24" s="1">
        <f t="shared" si="9"/>
        <v>0.12895687680017487</v>
      </c>
      <c r="T24" s="1">
        <f t="shared" si="10"/>
        <v>0.12092823976678274</v>
      </c>
      <c r="U24" s="1">
        <f t="shared" si="11"/>
        <v>0.14482309442036795</v>
      </c>
      <c r="V24" s="1">
        <f t="shared" si="12"/>
        <v>0.35034078398793539</v>
      </c>
      <c r="W24" s="1"/>
      <c r="X24" s="1">
        <f t="shared" si="13"/>
        <v>0.16732031965342925</v>
      </c>
      <c r="Y24" s="1">
        <f t="shared" si="14"/>
        <v>0.142863420831078</v>
      </c>
      <c r="Z24" s="1">
        <f t="shared" si="15"/>
        <v>0.17657827090022868</v>
      </c>
      <c r="AA24" s="1">
        <f t="shared" si="16"/>
        <v>0.24866016192165119</v>
      </c>
      <c r="AB24" s="8">
        <f t="shared" si="2"/>
        <v>1</v>
      </c>
      <c r="AC24" t="str" cm="1">
        <f t="array" ref="AC24">_xlfn.IFS(AD24=MAX(AD24:AG24),"road",AE24=MAX(AD24:AG24),"safety",AF24=MAX(AD24:AG24),"waste",AG24=MAX(AD24:AG24),"water")</f>
        <v>water</v>
      </c>
      <c r="AD24" s="1">
        <f t="shared" si="46"/>
        <v>0.16732031965342925</v>
      </c>
      <c r="AE24" s="1">
        <f t="shared" si="47"/>
        <v>0.142863420831078</v>
      </c>
      <c r="AF24" s="1">
        <f t="shared" si="48"/>
        <v>0.17657827090022868</v>
      </c>
      <c r="AG24" s="1">
        <f t="shared" si="49"/>
        <v>0.24866016192165119</v>
      </c>
      <c r="AI24" s="8">
        <f t="shared" si="3"/>
        <v>1</v>
      </c>
      <c r="AJ24" t="str" cm="1">
        <f t="array" ref="AJ24">_xlfn.IFS(AK24=MAX(AK24:AN24),"road",AL24=MAX(AK24:AN24),"safety",AM24=MAX(AK24:AN24),"waste",AN24=MAX(AK24:AN24),"water")</f>
        <v>water</v>
      </c>
      <c r="AK24" s="2">
        <f t="shared" si="45"/>
        <v>0.11821047040016029</v>
      </c>
      <c r="AL24" s="2">
        <f t="shared" si="20"/>
        <v>0.10480447446454505</v>
      </c>
      <c r="AM24" s="2">
        <f t="shared" si="21"/>
        <v>0.11827219377663382</v>
      </c>
      <c r="AN24" s="2">
        <f t="shared" si="22"/>
        <v>0.27443361412388273</v>
      </c>
      <c r="AO24" s="8">
        <f t="shared" si="23"/>
        <v>1</v>
      </c>
      <c r="AP24" t="str" cm="1">
        <f t="array" ref="AP24">_xlfn.IFS(AQ24=MAX(AQ24:AT24),"road",AR24=MAX(AQ24:AT24),"safety",AS24=MAX(AQ24:AT24),"waste",AT24=MAX(AQ24:AT24),"water")</f>
        <v>water</v>
      </c>
      <c r="AQ24" s="2">
        <f t="shared" si="24"/>
        <v>0.15616563167653397</v>
      </c>
      <c r="AR24" s="2">
        <f t="shared" si="25"/>
        <v>0.1285770787479702</v>
      </c>
      <c r="AS24" s="2">
        <f t="shared" si="26"/>
        <v>0.14420558790185342</v>
      </c>
      <c r="AT24" s="2">
        <f t="shared" si="27"/>
        <v>0.19063945747326591</v>
      </c>
      <c r="AU24" s="2"/>
      <c r="AW24" s="10">
        <f t="shared" si="4"/>
        <v>1</v>
      </c>
      <c r="AX24" s="2">
        <f t="shared" si="5"/>
        <v>0.46507307159714861</v>
      </c>
      <c r="AY24" t="str" cm="1">
        <f t="array" ref="AY24">_xlfn.IFS(AZ24=MAX(AZ24:BC24),"road",BA24=MAX(AZ24:BC24),"safety",BB24=MAX(AZ24:BC24),"waste",BC24=MAX(AZ24:BC24),"water")</f>
        <v>water</v>
      </c>
      <c r="AZ24" s="2">
        <f t="shared" si="28"/>
        <v>0.27437610207669427</v>
      </c>
      <c r="BA24" s="2">
        <f t="shared" si="29"/>
        <v>0.23338155321251525</v>
      </c>
      <c r="BB24" s="2">
        <f t="shared" si="30"/>
        <v>0.26247778167848723</v>
      </c>
      <c r="BC24" s="2">
        <f t="shared" si="31"/>
        <v>0.46507307159714861</v>
      </c>
      <c r="BD24" s="2"/>
      <c r="BF24" s="2">
        <f t="shared" si="32"/>
        <v>0.35404502996677101</v>
      </c>
      <c r="BG24" s="2">
        <f t="shared" si="33"/>
        <v>0.35922163985245203</v>
      </c>
      <c r="BH24" s="2">
        <f t="shared" si="34"/>
        <v>0.45376709472473598</v>
      </c>
      <c r="BI24" s="2">
        <f t="shared" si="35"/>
        <v>0.83296623545603699</v>
      </c>
      <c r="BK24" s="7">
        <f t="shared" si="6"/>
        <v>1</v>
      </c>
      <c r="BL24" t="str" cm="1">
        <f t="array" ref="BL24">_xlfn.IFS(BO24=MAX(BO24:BV24),"road",BR24=MAX(BO24:BV24),"water",BT24=MAX(BO24:BV24),"safety",BU24=MAX(BO24:BV24),"waste",BV24=MAX(BO24:BV24),"water")</f>
        <v>water</v>
      </c>
      <c r="BM24">
        <f t="shared" si="7"/>
        <v>1</v>
      </c>
      <c r="BN24" t="str" cm="1">
        <f t="array" ref="BN24">_xlfn.IFS(BO24=MAX(BO24:BR24),"road",BP24=MAX(BO24:BR24),"safety",BQ24=MAX(BO24:BR24),"waste",BR24=MAX(BO24:BR24),"water")</f>
        <v>water</v>
      </c>
      <c r="BO24" s="1">
        <f t="shared" si="36"/>
        <v>1.5196227708040244</v>
      </c>
      <c r="BP24" s="1">
        <f t="shared" si="37"/>
        <v>1.1910852617248096</v>
      </c>
      <c r="BQ24" s="1">
        <f t="shared" si="38"/>
        <v>1.6191401860662258</v>
      </c>
      <c r="BR24" s="1">
        <f t="shared" si="39"/>
        <v>3.5830307453311572</v>
      </c>
      <c r="BS24" s="1">
        <f t="shared" si="40"/>
        <v>1.6235933982542998</v>
      </c>
      <c r="BT24" s="1">
        <f t="shared" si="41"/>
        <v>0.76193824443241598</v>
      </c>
      <c r="BU24" s="1">
        <f t="shared" si="42"/>
        <v>0.79460221905102901</v>
      </c>
      <c r="BV24" s="1">
        <f t="shared" si="43"/>
        <v>1.18409600915072</v>
      </c>
      <c r="BX24" s="1"/>
      <c r="BY24" s="1"/>
      <c r="BZ24" s="1"/>
      <c r="CA24" s="1"/>
    </row>
    <row r="25" spans="1:79" x14ac:dyDescent="0.25">
      <c r="A25" t="s">
        <v>40</v>
      </c>
      <c r="B25" s="6" t="s">
        <v>22</v>
      </c>
      <c r="C25" t="s">
        <v>22</v>
      </c>
      <c r="D25" t="s">
        <v>15</v>
      </c>
      <c r="E25" t="s">
        <v>22</v>
      </c>
      <c r="F25" t="s">
        <v>22</v>
      </c>
      <c r="G25" s="3">
        <v>0.23973142285620999</v>
      </c>
      <c r="H25" s="3">
        <v>0.19391092764164</v>
      </c>
      <c r="I25" s="3">
        <v>0.18278551940684901</v>
      </c>
      <c r="J25" s="3">
        <v>0.383572130095299</v>
      </c>
      <c r="K25" s="3">
        <v>0.21987885851953701</v>
      </c>
      <c r="L25" s="3">
        <v>0.17017721580988299</v>
      </c>
      <c r="M25" s="3">
        <v>0.17092329758534799</v>
      </c>
      <c r="N25" s="2">
        <v>0.43902062808523101</v>
      </c>
      <c r="O25" s="11">
        <f t="shared" si="8"/>
        <v>0.383572130095299</v>
      </c>
      <c r="Q25">
        <f t="shared" si="0"/>
        <v>1</v>
      </c>
      <c r="R25" t="str" cm="1">
        <f t="array" ref="R25">_xlfn.IFS(S25=MAX(S25:V25),"road",T25=MAX(S25:V25),"safety",U25=MAX(S25:V25),"waste",V25=MAX(S25:V25),"water")</f>
        <v>water</v>
      </c>
      <c r="S25" s="1">
        <f t="shared" si="9"/>
        <v>0.18778961457069782</v>
      </c>
      <c r="T25" s="1">
        <f t="shared" si="10"/>
        <v>0.13896949814317533</v>
      </c>
      <c r="U25" s="1">
        <f t="shared" si="11"/>
        <v>0.14013556487858422</v>
      </c>
      <c r="V25" s="1">
        <f t="shared" si="12"/>
        <v>0.28128622873655262</v>
      </c>
      <c r="W25" s="1"/>
      <c r="X25" s="1">
        <f t="shared" si="13"/>
        <v>0.19422632502559101</v>
      </c>
      <c r="Y25" s="1">
        <f t="shared" si="14"/>
        <v>0.12763291185741224</v>
      </c>
      <c r="Z25" s="1">
        <f t="shared" si="15"/>
        <v>0.11394886505689868</v>
      </c>
      <c r="AA25" s="1">
        <f t="shared" si="16"/>
        <v>0.30731443965966171</v>
      </c>
      <c r="AB25" s="8">
        <f t="shared" si="2"/>
        <v>1</v>
      </c>
      <c r="AC25" t="str" cm="1">
        <f t="array" ref="AC25">_xlfn.IFS(AD25=MAX(AD25:AG25),"road",AE25=MAX(AD25:AG25),"safety",AF25=MAX(AD25:AG25),"waste",AG25=MAX(AD25:AG25),"water")</f>
        <v>water</v>
      </c>
      <c r="AD25" s="1">
        <f t="shared" si="46"/>
        <v>0.19422632502559101</v>
      </c>
      <c r="AE25" s="1">
        <f t="shared" si="47"/>
        <v>0.12763291185741224</v>
      </c>
      <c r="AF25" s="1">
        <f t="shared" si="48"/>
        <v>0.11394886505689868</v>
      </c>
      <c r="AG25" s="1">
        <f t="shared" si="49"/>
        <v>0.30731443965966171</v>
      </c>
      <c r="AI25" s="8">
        <f t="shared" si="3"/>
        <v>1</v>
      </c>
      <c r="AJ25" t="str" cm="1">
        <f t="array" ref="AJ25">_xlfn.IFS(AK25=MAX(AK25:AN25),"road",AL25=MAX(AK25:AN25),"safety",AM25=MAX(AK25:AN25),"waste",AN25=MAX(AK25:AN25),"water")</f>
        <v>water</v>
      </c>
      <c r="AK25" s="2">
        <f t="shared" si="45"/>
        <v>0.17214048002313967</v>
      </c>
      <c r="AL25" s="2">
        <f t="shared" si="20"/>
        <v>0.12044023172408529</v>
      </c>
      <c r="AM25" s="2">
        <f t="shared" si="21"/>
        <v>0.11444404465084378</v>
      </c>
      <c r="AN25" s="2">
        <f t="shared" si="22"/>
        <v>0.22034087917696621</v>
      </c>
      <c r="AO25" s="8">
        <f t="shared" si="23"/>
        <v>1</v>
      </c>
      <c r="AP25" t="str" cm="1">
        <f t="array" ref="AP25">_xlfn.IFS(AQ25=MAX(AQ25:AT25),"road",AR25=MAX(AQ25:AT25),"safety",AS25=MAX(AQ25:AT25),"waste",AT25=MAX(AQ25:AT25),"water")</f>
        <v>water</v>
      </c>
      <c r="AQ25" s="2">
        <f t="shared" si="24"/>
        <v>0.18127790335721827</v>
      </c>
      <c r="AR25" s="2">
        <f t="shared" si="25"/>
        <v>0.11486962067167102</v>
      </c>
      <c r="AS25" s="2">
        <f t="shared" si="26"/>
        <v>9.3058239796467254E-2</v>
      </c>
      <c r="AT25" s="2">
        <f t="shared" si="27"/>
        <v>0.23560773707240729</v>
      </c>
      <c r="AU25" s="2"/>
      <c r="AW25" s="10">
        <f t="shared" si="4"/>
        <v>1</v>
      </c>
      <c r="AX25" s="2">
        <f t="shared" si="5"/>
        <v>0.4559486162493735</v>
      </c>
      <c r="AY25" t="str" cm="1">
        <f t="array" ref="AY25">_xlfn.IFS(AZ25=MAX(AZ25:BC25),"road",BA25=MAX(AZ25:BC25),"safety",BB25=MAX(AZ25:BC25),"waste",BC25=MAX(AZ25:BC25),"water")</f>
        <v>water</v>
      </c>
      <c r="AZ25" s="2">
        <f t="shared" si="28"/>
        <v>0.35341838338035791</v>
      </c>
      <c r="BA25" s="2">
        <f t="shared" si="29"/>
        <v>0.2353098523957563</v>
      </c>
      <c r="BB25" s="2">
        <f t="shared" si="30"/>
        <v>0.20750228444731103</v>
      </c>
      <c r="BC25" s="2">
        <f t="shared" si="31"/>
        <v>0.4559486162493735</v>
      </c>
      <c r="BD25" s="2"/>
      <c r="BF25" s="2">
        <f t="shared" si="32"/>
        <v>0.459610281375747</v>
      </c>
      <c r="BG25" s="2">
        <f t="shared" si="33"/>
        <v>0.36408814345152296</v>
      </c>
      <c r="BH25" s="2">
        <f t="shared" si="34"/>
        <v>0.35370881699219703</v>
      </c>
      <c r="BI25" s="2">
        <f t="shared" si="35"/>
        <v>0.82259275818053001</v>
      </c>
      <c r="BK25" s="7">
        <f t="shared" si="6"/>
        <v>1</v>
      </c>
      <c r="BL25" t="str" cm="1">
        <f t="array" ref="BL25">_xlfn.IFS(BO25=MAX(BO25:BV25),"road",BR25=MAX(BO25:BV25),"water",BT25=MAX(BO25:BV25),"safety",BU25=MAX(BO25:BV25),"waste",BV25=MAX(BO25:BV25),"water")</f>
        <v>water</v>
      </c>
      <c r="BM25">
        <f t="shared" si="7"/>
        <v>1</v>
      </c>
      <c r="BN25" t="str" cm="1">
        <f t="array" ref="BN25">_xlfn.IFS(BO25=MAX(BO25:BR25),"road",BP25=MAX(BO25:BR25),"safety",BQ25=MAX(BO25:BR25),"waste",BR25=MAX(BO25:BR25),"water")</f>
        <v>water</v>
      </c>
      <c r="BO25" s="1">
        <f t="shared" si="36"/>
        <v>2.2129054417496308</v>
      </c>
      <c r="BP25" s="1">
        <f t="shared" si="37"/>
        <v>1.3687830186468706</v>
      </c>
      <c r="BQ25" s="1">
        <f t="shared" si="38"/>
        <v>1.5667330234872772</v>
      </c>
      <c r="BR25" s="1">
        <f t="shared" si="39"/>
        <v>2.8767909757147425</v>
      </c>
      <c r="BS25" s="1">
        <f t="shared" si="40"/>
        <v>1.88467593016746</v>
      </c>
      <c r="BT25" s="1">
        <f t="shared" si="41"/>
        <v>0.68070886323953195</v>
      </c>
      <c r="BU25" s="1">
        <f t="shared" si="42"/>
        <v>0.51276989275604401</v>
      </c>
      <c r="BV25" s="1">
        <f t="shared" si="43"/>
        <v>1.4634020936174368</v>
      </c>
      <c r="BX25" s="1"/>
      <c r="BY25" s="1"/>
      <c r="BZ25" s="1"/>
      <c r="CA25" s="1"/>
    </row>
    <row r="26" spans="1:79" x14ac:dyDescent="0.25">
      <c r="A26" t="s">
        <v>41</v>
      </c>
      <c r="B26" s="6" t="s">
        <v>22</v>
      </c>
      <c r="C26" t="s">
        <v>17</v>
      </c>
      <c r="D26" t="s">
        <v>15</v>
      </c>
      <c r="E26" t="s">
        <v>17</v>
      </c>
      <c r="F26" t="s">
        <v>17</v>
      </c>
      <c r="G26" s="3">
        <v>0.215610635826533</v>
      </c>
      <c r="H26" s="3">
        <v>0.27943972715106902</v>
      </c>
      <c r="I26" s="3">
        <v>0.33967737531686898</v>
      </c>
      <c r="J26" s="3">
        <v>0.165272261705527</v>
      </c>
      <c r="K26" s="3">
        <v>0.19829613550036199</v>
      </c>
      <c r="L26" s="3">
        <v>0.26218951929227502</v>
      </c>
      <c r="M26" s="3">
        <v>0.35262685940121402</v>
      </c>
      <c r="N26" s="3">
        <v>0.186887485806147</v>
      </c>
      <c r="O26" s="11">
        <f t="shared" si="8"/>
        <v>0.33967737531686898</v>
      </c>
      <c r="Q26">
        <f t="shared" si="0"/>
        <v>0</v>
      </c>
      <c r="R26" t="str" cm="1">
        <f t="array" ref="R26">_xlfn.IFS(S26=MAX(S26:V26),"road",T26=MAX(S26:V26),"safety",U26=MAX(S26:V26),"waste",V26=MAX(S26:V26),"water")</f>
        <v>waste</v>
      </c>
      <c r="S26" s="1">
        <f t="shared" si="9"/>
        <v>0.16889499806411751</v>
      </c>
      <c r="T26" s="1">
        <f t="shared" si="10"/>
        <v>0.20026513779159946</v>
      </c>
      <c r="U26" s="1">
        <f t="shared" si="11"/>
        <v>0.2604193210762662</v>
      </c>
      <c r="V26" s="1">
        <f t="shared" si="12"/>
        <v>0.12119965858405314</v>
      </c>
      <c r="W26" s="1"/>
      <c r="X26" s="1">
        <f t="shared" si="13"/>
        <v>0.17516158635865309</v>
      </c>
      <c r="Y26" s="1">
        <f t="shared" si="14"/>
        <v>0.19664213946920628</v>
      </c>
      <c r="Z26" s="1">
        <f t="shared" si="15"/>
        <v>0.2350845729341427</v>
      </c>
      <c r="AA26" s="1">
        <f t="shared" si="16"/>
        <v>0.1308212400643029</v>
      </c>
      <c r="AB26" s="8">
        <f t="shared" si="2"/>
        <v>0</v>
      </c>
      <c r="AC26" t="str" cm="1">
        <f t="array" ref="AC26">_xlfn.IFS(AD26=MAX(AD26:AG26),"road",AE26=MAX(AD26:AG26),"safety",AF26=MAX(AD26:AG26),"waste",AG26=MAX(AD26:AG26),"water")</f>
        <v>waste</v>
      </c>
      <c r="AD26" s="1">
        <f t="shared" si="46"/>
        <v>0.17516158635865309</v>
      </c>
      <c r="AE26" s="1">
        <f t="shared" si="47"/>
        <v>0.19664213946920628</v>
      </c>
      <c r="AF26" s="1">
        <f t="shared" si="48"/>
        <v>0.2350845729341427</v>
      </c>
      <c r="AG26" s="1">
        <f t="shared" si="49"/>
        <v>0.1308212400643029</v>
      </c>
      <c r="AI26" s="8">
        <f t="shared" si="3"/>
        <v>0</v>
      </c>
      <c r="AJ26" t="str" cm="1">
        <f t="array" ref="AJ26">_xlfn.IFS(AK26=MAX(AK26:AN26),"road",AL26=MAX(AK26:AN26),"safety",AM26=MAX(AK26:AN26),"waste",AN26=MAX(AK26:AN26),"water")</f>
        <v>waste</v>
      </c>
      <c r="AK26" s="2">
        <f t="shared" si="45"/>
        <v>0.15482041489210771</v>
      </c>
      <c r="AL26" s="2">
        <f t="shared" si="20"/>
        <v>0.17356311941938621</v>
      </c>
      <c r="AM26" s="2">
        <f t="shared" si="21"/>
        <v>0.21267577887895073</v>
      </c>
      <c r="AN26" s="2">
        <f t="shared" si="22"/>
        <v>9.4939732557508288E-2</v>
      </c>
      <c r="AO26" s="8">
        <f t="shared" si="23"/>
        <v>0</v>
      </c>
      <c r="AP26" t="str" cm="1">
        <f t="array" ref="AP26">_xlfn.IFS(AQ26=MAX(AQ26:AT26),"road",AR26=MAX(AQ26:AT26),"safety",AS26=MAX(AQ26:AT26),"waste",AT26=MAX(AQ26:AT26),"water")</f>
        <v>waste</v>
      </c>
      <c r="AQ26" s="2">
        <f t="shared" si="24"/>
        <v>0.16348414726807622</v>
      </c>
      <c r="AR26" s="2">
        <f t="shared" si="25"/>
        <v>0.17697792552228567</v>
      </c>
      <c r="AS26" s="2">
        <f t="shared" si="26"/>
        <v>0.1919857345628832</v>
      </c>
      <c r="AT26" s="2">
        <f t="shared" si="27"/>
        <v>0.10029628404929888</v>
      </c>
      <c r="AU26" s="2"/>
      <c r="AW26" s="10">
        <f t="shared" si="4"/>
        <v>0</v>
      </c>
      <c r="AX26" s="2">
        <f t="shared" si="5"/>
        <v>0.40466151344183393</v>
      </c>
      <c r="AY26" t="str" cm="1">
        <f t="array" ref="AY26">_xlfn.IFS(AZ26=MAX(AZ26:BC26),"road",BA26=MAX(AZ26:BC26),"safety",BB26=MAX(AZ26:BC26),"waste",BC26=MAX(AZ26:BC26),"water")</f>
        <v>waste</v>
      </c>
      <c r="AZ26" s="2">
        <f t="shared" si="28"/>
        <v>0.31830456216018393</v>
      </c>
      <c r="BA26" s="2">
        <f t="shared" si="29"/>
        <v>0.35054104494167188</v>
      </c>
      <c r="BB26" s="2">
        <f t="shared" si="30"/>
        <v>0.40466151344183393</v>
      </c>
      <c r="BC26" s="2">
        <f t="shared" si="31"/>
        <v>0.19523601660680717</v>
      </c>
      <c r="BD26" s="2"/>
      <c r="BF26" s="2">
        <f t="shared" si="32"/>
        <v>0.41390677132689502</v>
      </c>
      <c r="BG26" s="2">
        <f t="shared" si="33"/>
        <v>0.54162924644334409</v>
      </c>
      <c r="BH26" s="2">
        <f t="shared" si="34"/>
        <v>0.692304234718083</v>
      </c>
      <c r="BI26" s="2">
        <f t="shared" si="35"/>
        <v>0.352159747511674</v>
      </c>
      <c r="BK26" s="7" t="e">
        <f t="shared" si="6"/>
        <v>#N/A</v>
      </c>
      <c r="BL26" t="e" cm="1">
        <f t="array" ref="BL26">_xlfn.IFS(BO26=MAX(BO26:BV26),"road",BR26=MAX(BO26:BV26),"water",BT26=MAX(BO26:BV26),"safety",BU26=MAX(BO26:BV26),"waste",BV26=MAX(BO26:BV26),"water")</f>
        <v>#N/A</v>
      </c>
      <c r="BM26">
        <f t="shared" si="7"/>
        <v>0</v>
      </c>
      <c r="BN26" t="str" cm="1">
        <f t="array" ref="BN26">_xlfn.IFS(BO26=MAX(BO26:BR26),"road",BP26=MAX(BO26:BR26),"safety",BQ26=MAX(BO26:BR26),"waste",BR26=MAX(BO26:BR26),"water")</f>
        <v>waste</v>
      </c>
      <c r="BO26" s="1">
        <f t="shared" si="36"/>
        <v>1.9902520230141507</v>
      </c>
      <c r="BP26" s="1">
        <f t="shared" si="37"/>
        <v>1.9725157210663695</v>
      </c>
      <c r="BQ26" s="1">
        <f t="shared" si="38"/>
        <v>2.9115203598588768</v>
      </c>
      <c r="BR26" s="1">
        <f t="shared" si="39"/>
        <v>1.2395419627914526</v>
      </c>
      <c r="BS26" s="1">
        <f t="shared" si="40"/>
        <v>1.6996811614316742</v>
      </c>
      <c r="BT26" s="1">
        <f t="shared" si="41"/>
        <v>1.0487580771691001</v>
      </c>
      <c r="BU26" s="1">
        <f t="shared" si="42"/>
        <v>1.0578805782036422</v>
      </c>
      <c r="BV26" s="1">
        <f t="shared" si="43"/>
        <v>0.62295828602049008</v>
      </c>
      <c r="BX26" s="1"/>
      <c r="BY26" s="1"/>
      <c r="BZ26" s="1"/>
      <c r="CA26" s="1"/>
    </row>
    <row r="27" spans="1:79" x14ac:dyDescent="0.25">
      <c r="A27" t="s">
        <v>42</v>
      </c>
      <c r="B27" s="6" t="s">
        <v>22</v>
      </c>
      <c r="C27" t="s">
        <v>22</v>
      </c>
      <c r="D27" t="s">
        <v>15</v>
      </c>
      <c r="E27" t="s">
        <v>22</v>
      </c>
      <c r="F27" t="s">
        <v>22</v>
      </c>
      <c r="G27" s="3">
        <v>0.16536512464748601</v>
      </c>
      <c r="H27" s="3">
        <v>0.169594194026218</v>
      </c>
      <c r="I27" s="3">
        <v>0.18852730499818801</v>
      </c>
      <c r="J27" s="3">
        <v>0.47651337632810697</v>
      </c>
      <c r="K27" s="3">
        <v>0.19109950884966101</v>
      </c>
      <c r="L27" s="3">
        <v>0.19217035050136</v>
      </c>
      <c r="M27" s="3">
        <v>0.26009577906752102</v>
      </c>
      <c r="N27" s="3">
        <v>0.35663436158145501</v>
      </c>
      <c r="O27" s="11">
        <f t="shared" si="8"/>
        <v>0.47651337632810697</v>
      </c>
      <c r="Q27">
        <f t="shared" si="0"/>
        <v>1</v>
      </c>
      <c r="R27" t="str" cm="1">
        <f t="array" ref="R27">_xlfn.IFS(S27=MAX(S27:V27),"road",T27=MAX(S27:V27),"safety",U27=MAX(S27:V27),"waste",V27=MAX(S27:V27),"water")</f>
        <v>water</v>
      </c>
      <c r="S27" s="1">
        <f t="shared" si="9"/>
        <v>0.12953601430719738</v>
      </c>
      <c r="T27" s="1">
        <f t="shared" si="10"/>
        <v>0.12154250571878956</v>
      </c>
      <c r="U27" s="1">
        <f t="shared" si="11"/>
        <v>0.14453760049861081</v>
      </c>
      <c r="V27" s="1">
        <f t="shared" si="12"/>
        <v>0.34944314264061183</v>
      </c>
      <c r="W27" s="1"/>
      <c r="X27" s="1">
        <f t="shared" si="13"/>
        <v>0.16880456615053388</v>
      </c>
      <c r="Y27" s="1">
        <f t="shared" si="14"/>
        <v>0.14412776287602</v>
      </c>
      <c r="Z27" s="1">
        <f t="shared" si="15"/>
        <v>0.17339718604501403</v>
      </c>
      <c r="AA27" s="1">
        <f t="shared" si="16"/>
        <v>0.24964405310701848</v>
      </c>
      <c r="AB27" s="8">
        <f t="shared" si="2"/>
        <v>1</v>
      </c>
      <c r="AC27" t="str" cm="1">
        <f t="array" ref="AC27">_xlfn.IFS(AD27=MAX(AD27:AG27),"road",AE27=MAX(AD27:AG27),"safety",AF27=MAX(AD27:AG27),"waste",AG27=MAX(AD27:AG27),"water")</f>
        <v>water</v>
      </c>
      <c r="AD27" s="1">
        <f t="shared" si="46"/>
        <v>0.16880456615053388</v>
      </c>
      <c r="AE27" s="1">
        <f t="shared" si="47"/>
        <v>0.14412776287602</v>
      </c>
      <c r="AF27" s="1">
        <f t="shared" si="48"/>
        <v>0.17339718604501403</v>
      </c>
      <c r="AG27" s="1">
        <f t="shared" si="49"/>
        <v>0.24964405310701848</v>
      </c>
      <c r="AI27" s="8">
        <f t="shared" si="3"/>
        <v>1</v>
      </c>
      <c r="AJ27" t="str" cm="1">
        <f t="array" ref="AJ27">_xlfn.IFS(AK27=MAX(AK27:AN27),"road",AL27=MAX(AK27:AN27),"safety",AM27=MAX(AK27:AN27),"waste",AN27=MAX(AK27:AN27),"water")</f>
        <v>water</v>
      </c>
      <c r="AK27" s="2">
        <f t="shared" si="45"/>
        <v>0.11874134644826426</v>
      </c>
      <c r="AL27" s="2">
        <f t="shared" si="20"/>
        <v>0.10533683828961762</v>
      </c>
      <c r="AM27" s="2">
        <f t="shared" si="21"/>
        <v>0.11803904040719883</v>
      </c>
      <c r="AN27" s="2">
        <f t="shared" si="22"/>
        <v>0.27373046173514592</v>
      </c>
      <c r="AO27" s="8">
        <f t="shared" si="23"/>
        <v>1</v>
      </c>
      <c r="AP27" t="str" cm="1">
        <f t="array" ref="AP27">_xlfn.IFS(AQ27=MAX(AQ27:AT27),"road",AR27=MAX(AQ27:AT27),"safety",AS27=MAX(AQ27:AT27),"waste",AT27=MAX(AQ27:AT27),"water")</f>
        <v>water</v>
      </c>
      <c r="AQ27" s="2">
        <f t="shared" si="24"/>
        <v>0.15755092840716495</v>
      </c>
      <c r="AR27" s="2">
        <f t="shared" si="25"/>
        <v>0.12971498658841801</v>
      </c>
      <c r="AS27" s="2">
        <f t="shared" si="26"/>
        <v>0.14160770193676145</v>
      </c>
      <c r="AT27" s="2">
        <f t="shared" si="27"/>
        <v>0.19139377404871416</v>
      </c>
      <c r="AU27" s="2"/>
      <c r="AW27" s="10">
        <f t="shared" si="4"/>
        <v>1</v>
      </c>
      <c r="AX27" s="2">
        <f t="shared" si="5"/>
        <v>0.46512423578386008</v>
      </c>
      <c r="AY27" t="str" cm="1">
        <f t="array" ref="AY27">_xlfn.IFS(AZ27=MAX(AZ27:BC27),"road",BA27=MAX(AZ27:BC27),"safety",BB27=MAX(AZ27:BC27),"waste",BC27=MAX(AZ27:BC27),"water")</f>
        <v>water</v>
      </c>
      <c r="AZ27" s="2">
        <f t="shared" si="28"/>
        <v>0.27629227485542918</v>
      </c>
      <c r="BA27" s="2">
        <f t="shared" si="29"/>
        <v>0.23505182487803564</v>
      </c>
      <c r="BB27" s="2">
        <f t="shared" si="30"/>
        <v>0.25964674234396029</v>
      </c>
      <c r="BC27" s="2">
        <f t="shared" si="31"/>
        <v>0.46512423578386008</v>
      </c>
      <c r="BD27" s="2"/>
      <c r="BF27" s="2">
        <f t="shared" si="32"/>
        <v>0.35646463349714702</v>
      </c>
      <c r="BG27" s="2">
        <f t="shared" si="33"/>
        <v>0.361764544527578</v>
      </c>
      <c r="BH27" s="2">
        <f t="shared" si="34"/>
        <v>0.44862308406570905</v>
      </c>
      <c r="BI27" s="2">
        <f t="shared" si="35"/>
        <v>0.83314773790956198</v>
      </c>
      <c r="BK27" s="7">
        <f t="shared" si="6"/>
        <v>1</v>
      </c>
      <c r="BL27" t="str" cm="1">
        <f t="array" ref="BL27">_xlfn.IFS(BO27=MAX(BO27:BV27),"road",BR27=MAX(BO27:BV27),"water",BT27=MAX(BO27:BV27),"safety",BU27=MAX(BO27:BV27),"waste",BV27=MAX(BO27:BV27),"water")</f>
        <v>water</v>
      </c>
      <c r="BM27">
        <f t="shared" si="7"/>
        <v>1</v>
      </c>
      <c r="BN27" t="str" cm="1">
        <f t="array" ref="BN27">_xlfn.IFS(BO27=MAX(BO27:BR27),"road",BP27=MAX(BO27:BR27),"safety",BQ27=MAX(BO27:BR27),"waste",BR27=MAX(BO27:BR27),"water")</f>
        <v>water</v>
      </c>
      <c r="BO27" s="1">
        <f t="shared" si="36"/>
        <v>1.5264473044383324</v>
      </c>
      <c r="BP27" s="1">
        <f t="shared" si="37"/>
        <v>1.1971354872438917</v>
      </c>
      <c r="BQ27" s="1">
        <f t="shared" si="38"/>
        <v>1.6159483285558973</v>
      </c>
      <c r="BR27" s="1">
        <f t="shared" si="39"/>
        <v>3.5738503224608023</v>
      </c>
      <c r="BS27" s="1">
        <f t="shared" si="40"/>
        <v>1.6379957901399516</v>
      </c>
      <c r="BT27" s="1">
        <f t="shared" si="41"/>
        <v>0.76868140200544</v>
      </c>
      <c r="BU27" s="1">
        <f t="shared" si="42"/>
        <v>0.78028733720256305</v>
      </c>
      <c r="BV27" s="1">
        <f t="shared" si="43"/>
        <v>1.1887812052715168</v>
      </c>
      <c r="BX27" s="1"/>
      <c r="BY27" s="1"/>
      <c r="BZ27" s="1"/>
      <c r="CA27" s="1"/>
    </row>
    <row r="28" spans="1:79" x14ac:dyDescent="0.25">
      <c r="A28" t="s">
        <v>43</v>
      </c>
      <c r="B28" s="6" t="s">
        <v>22</v>
      </c>
      <c r="C28" t="s">
        <v>22</v>
      </c>
      <c r="D28" t="s">
        <v>15</v>
      </c>
      <c r="E28" t="s">
        <v>22</v>
      </c>
      <c r="F28" t="s">
        <v>22</v>
      </c>
      <c r="G28" s="2">
        <v>0.25860030966421299</v>
      </c>
      <c r="H28" s="2">
        <v>0.19706777276346299</v>
      </c>
      <c r="I28" s="3">
        <v>0.23382638203603701</v>
      </c>
      <c r="J28" s="3">
        <v>0.31050553553628601</v>
      </c>
      <c r="K28" s="3">
        <v>0.238521376859722</v>
      </c>
      <c r="L28" s="2">
        <v>0.210731349637541</v>
      </c>
      <c r="M28" s="3">
        <v>0.243366526262108</v>
      </c>
      <c r="N28" s="3">
        <v>0.30738074724062597</v>
      </c>
      <c r="O28" s="11">
        <f t="shared" si="8"/>
        <v>0.31050553553628601</v>
      </c>
      <c r="Q28">
        <f t="shared" si="0"/>
        <v>1</v>
      </c>
      <c r="R28" t="str" cm="1">
        <f t="array" ref="R28">_xlfn.IFS(S28=MAX(S28:V28),"road",T28=MAX(S28:V28),"safety",U28=MAX(S28:V28),"waste",V28=MAX(S28:V28),"water")</f>
        <v>water</v>
      </c>
      <c r="S28" s="1">
        <f t="shared" si="9"/>
        <v>0.20257024257030018</v>
      </c>
      <c r="T28" s="1">
        <f t="shared" si="10"/>
        <v>0.14123190381381515</v>
      </c>
      <c r="U28" s="1">
        <f t="shared" si="11"/>
        <v>0.17926689289429504</v>
      </c>
      <c r="V28" s="1">
        <f t="shared" si="12"/>
        <v>0.22770405939327643</v>
      </c>
      <c r="W28" s="1"/>
      <c r="X28" s="1">
        <f t="shared" si="13"/>
        <v>0.21069388289275442</v>
      </c>
      <c r="Y28" s="1">
        <f t="shared" si="14"/>
        <v>0.15804851222815575</v>
      </c>
      <c r="Z28" s="1">
        <f t="shared" si="15"/>
        <v>0.16224435084140534</v>
      </c>
      <c r="AA28" s="1">
        <f t="shared" si="16"/>
        <v>0.21516652306843817</v>
      </c>
      <c r="AB28" s="8">
        <f t="shared" si="2"/>
        <v>1</v>
      </c>
      <c r="AC28" t="str" cm="1">
        <f t="array" ref="AC28">_xlfn.IFS(AD28=MAX(AD28:AG28),"road",AE28=MAX(AD28:AG28),"safety",AF28=MAX(AD28:AG28),"waste",AG28=MAX(AD28:AG28),"water")</f>
        <v>water</v>
      </c>
      <c r="AD28" s="1">
        <f t="shared" si="46"/>
        <v>0.21069388289275442</v>
      </c>
      <c r="AE28" s="1">
        <f t="shared" si="47"/>
        <v>0.15804851222815575</v>
      </c>
      <c r="AF28" s="1">
        <f t="shared" si="48"/>
        <v>0.16224435084140534</v>
      </c>
      <c r="AG28" s="1">
        <f t="shared" si="49"/>
        <v>0.21516652306843817</v>
      </c>
      <c r="AI28" s="8">
        <f t="shared" si="3"/>
        <v>0</v>
      </c>
      <c r="AJ28" t="str" cm="1">
        <f t="array" ref="AJ28">_xlfn.IFS(AK28=MAX(AK28:AN28),"road",AL28=MAX(AK28:AN28),"safety",AM28=MAX(AK28:AN28),"waste",AN28=MAX(AK28:AN28),"water")</f>
        <v>road</v>
      </c>
      <c r="AK28" s="2">
        <f t="shared" si="45"/>
        <v>0.18568938902277515</v>
      </c>
      <c r="AL28" s="2">
        <f t="shared" si="20"/>
        <v>0.12240098330530647</v>
      </c>
      <c r="AM28" s="2">
        <f t="shared" si="21"/>
        <v>0.14640129586367429</v>
      </c>
      <c r="AN28" s="2">
        <f t="shared" si="22"/>
        <v>0.17836817985806652</v>
      </c>
      <c r="AO28" s="8">
        <f t="shared" si="23"/>
        <v>0</v>
      </c>
      <c r="AP28" t="str" cm="1">
        <f t="array" ref="AP28">_xlfn.IFS(AQ28=MAX(AQ28:AT28),"road",AR28=MAX(AQ28:AT28),"safety",AS28=MAX(AQ28:AT28),"waste",AT28=MAX(AQ28:AT28),"water")</f>
        <v>road</v>
      </c>
      <c r="AQ28" s="2">
        <f t="shared" si="24"/>
        <v>0.19664762403323746</v>
      </c>
      <c r="AR28" s="2">
        <f t="shared" si="25"/>
        <v>0.14224366100534017</v>
      </c>
      <c r="AS28" s="2">
        <f t="shared" si="26"/>
        <v>0.13249955318714771</v>
      </c>
      <c r="AT28" s="2">
        <f t="shared" si="27"/>
        <v>0.16496100101913591</v>
      </c>
      <c r="AU28" s="2"/>
      <c r="AW28" s="10">
        <f t="shared" si="4"/>
        <v>0</v>
      </c>
      <c r="AX28" s="2">
        <f t="shared" si="5"/>
        <v>0.38233701305601264</v>
      </c>
      <c r="AY28" t="str" cm="1">
        <f t="array" ref="AY28">_xlfn.IFS(AZ28=MAX(AZ28:BC28),"road",BA28=MAX(AZ28:BC28),"safety",BB28=MAX(AZ28:BC28),"waste",BC28=MAX(AZ28:BC28),"water")</f>
        <v>road</v>
      </c>
      <c r="AZ28" s="2">
        <f t="shared" si="28"/>
        <v>0.38233701305601264</v>
      </c>
      <c r="BA28" s="2">
        <f t="shared" si="29"/>
        <v>0.2646446443106466</v>
      </c>
      <c r="BB28" s="2">
        <f t="shared" si="30"/>
        <v>0.27890084905082202</v>
      </c>
      <c r="BC28" s="2">
        <f t="shared" si="31"/>
        <v>0.34332918087720243</v>
      </c>
      <c r="BD28" s="2"/>
      <c r="BF28" s="2">
        <f t="shared" si="32"/>
        <v>0.49712168652393496</v>
      </c>
      <c r="BG28" s="2">
        <f t="shared" si="33"/>
        <v>0.40779912240100402</v>
      </c>
      <c r="BH28" s="2">
        <f t="shared" si="34"/>
        <v>0.47719290829814498</v>
      </c>
      <c r="BI28" s="2">
        <f t="shared" si="35"/>
        <v>0.61788628277691204</v>
      </c>
      <c r="BK28" s="7">
        <f t="shared" si="6"/>
        <v>0</v>
      </c>
      <c r="BL28" t="str" cm="1">
        <f t="array" ref="BL28">_xlfn.IFS(BO28=MAX(BO28:BV28),"road",BR28=MAX(BO28:BV28),"water",BT28=MAX(BO28:BV28),"safety",BU28=MAX(BO28:BV28),"waste",BV28=MAX(BO28:BV28),"water")</f>
        <v>road</v>
      </c>
      <c r="BM28">
        <f t="shared" si="7"/>
        <v>0</v>
      </c>
      <c r="BN28" t="str" cm="1">
        <f t="array" ref="BN28">_xlfn.IFS(BO28=MAX(BO28:BR28),"road",BP28=MAX(BO28:BR28),"safety",BQ28=MAX(BO28:BR28),"waste",BR28=MAX(BO28:BR28),"water")</f>
        <v>road</v>
      </c>
      <c r="BO28" s="1">
        <f t="shared" si="36"/>
        <v>2.387079781515812</v>
      </c>
      <c r="BP28" s="1">
        <f t="shared" si="37"/>
        <v>1.3910666312715034</v>
      </c>
      <c r="BQ28" s="1">
        <f t="shared" si="38"/>
        <v>2.0042261317374601</v>
      </c>
      <c r="BR28" s="1">
        <f t="shared" si="39"/>
        <v>2.3287915165221453</v>
      </c>
      <c r="BS28" s="1">
        <f t="shared" si="40"/>
        <v>2.0444689445119026</v>
      </c>
      <c r="BT28" s="1">
        <f t="shared" si="41"/>
        <v>0.84292539855016402</v>
      </c>
      <c r="BU28" s="1">
        <f t="shared" si="42"/>
        <v>0.73009957878632403</v>
      </c>
      <c r="BV28" s="1">
        <f t="shared" si="43"/>
        <v>1.0246024908020865</v>
      </c>
      <c r="BX28" s="1"/>
      <c r="BY28" s="1"/>
      <c r="BZ28" s="1"/>
      <c r="CA28" s="1"/>
    </row>
    <row r="29" spans="1:79" x14ac:dyDescent="0.25">
      <c r="A29" t="s">
        <v>44</v>
      </c>
      <c r="B29" s="6" t="s">
        <v>22</v>
      </c>
      <c r="C29" t="s">
        <v>22</v>
      </c>
      <c r="D29" t="s">
        <v>15</v>
      </c>
      <c r="E29" t="s">
        <v>22</v>
      </c>
      <c r="F29" t="s">
        <v>22</v>
      </c>
      <c r="G29" s="3">
        <v>0.153600308624845</v>
      </c>
      <c r="H29" s="3">
        <v>0.137796915896749</v>
      </c>
      <c r="I29" s="3">
        <v>0.126988852970746</v>
      </c>
      <c r="J29" s="3">
        <v>0.58161392250765798</v>
      </c>
      <c r="K29" s="3">
        <v>0.17849986047709099</v>
      </c>
      <c r="L29" s="3">
        <v>0.15206366725860401</v>
      </c>
      <c r="M29" s="3">
        <v>0.15257690359128001</v>
      </c>
      <c r="N29" s="3">
        <v>0.51685956867302296</v>
      </c>
      <c r="O29" s="11">
        <f t="shared" si="8"/>
        <v>0.58161392250765798</v>
      </c>
      <c r="Q29">
        <f t="shared" si="0"/>
        <v>1</v>
      </c>
      <c r="R29" t="str" cm="1">
        <f t="array" ref="R29">_xlfn.IFS(S29=MAX(S29:V29),"road",T29=MAX(S29:V29),"safety",U29=MAX(S29:V29),"waste",V29=MAX(S29:V29),"water")</f>
        <v>water</v>
      </c>
      <c r="S29" s="1">
        <f t="shared" si="9"/>
        <v>0.12032024175612858</v>
      </c>
      <c r="T29" s="1">
        <f t="shared" si="10"/>
        <v>9.8754456392670123E-2</v>
      </c>
      <c r="U29" s="1">
        <f t="shared" si="11"/>
        <v>9.7358120610905263E-2</v>
      </c>
      <c r="V29" s="1">
        <f t="shared" si="12"/>
        <v>0.42651687650561587</v>
      </c>
      <c r="W29" s="1"/>
      <c r="X29" s="1">
        <f t="shared" si="13"/>
        <v>0.15767487675476369</v>
      </c>
      <c r="Y29" s="1">
        <f t="shared" si="14"/>
        <v>0.11404775044395302</v>
      </c>
      <c r="Z29" s="1">
        <f t="shared" si="15"/>
        <v>0.10171793572752001</v>
      </c>
      <c r="AA29" s="1">
        <f t="shared" si="16"/>
        <v>0.36180169807111606</v>
      </c>
      <c r="AB29" s="8">
        <f t="shared" si="2"/>
        <v>1</v>
      </c>
      <c r="AC29" t="str" cm="1">
        <f t="array" ref="AC29">_xlfn.IFS(AD29=MAX(AD29:AG29),"road",AE29=MAX(AD29:AG29),"safety",AF29=MAX(AD29:AG29),"waste",AG29=MAX(AD29:AG29),"water")</f>
        <v>water</v>
      </c>
      <c r="AD29" s="1">
        <f t="shared" si="46"/>
        <v>0.15767487675476369</v>
      </c>
      <c r="AE29" s="1">
        <f t="shared" si="47"/>
        <v>0.11404775044395302</v>
      </c>
      <c r="AF29" s="1">
        <f t="shared" si="48"/>
        <v>0.10171793572752001</v>
      </c>
      <c r="AG29" s="1">
        <f t="shared" si="49"/>
        <v>0.36180169807111606</v>
      </c>
      <c r="AI29" s="8">
        <f t="shared" si="3"/>
        <v>1</v>
      </c>
      <c r="AJ29" t="str" cm="1">
        <f t="array" ref="AJ29">_xlfn.IFS(AK29=MAX(AK29:AN29),"road",AL29=MAX(AK29:AN29),"safety",AM29=MAX(AK29:AN29),"waste",AN29=MAX(AK29:AN29),"water")</f>
        <v>water</v>
      </c>
      <c r="AK29" s="2">
        <f t="shared" si="45"/>
        <v>0.11029355494311786</v>
      </c>
      <c r="AL29" s="2">
        <f t="shared" si="20"/>
        <v>8.5587195540314104E-2</v>
      </c>
      <c r="AM29" s="2">
        <f t="shared" si="21"/>
        <v>7.9509131832239302E-2</v>
      </c>
      <c r="AN29" s="2">
        <f t="shared" si="22"/>
        <v>0.33410488659606574</v>
      </c>
      <c r="AO29" s="8">
        <f t="shared" si="23"/>
        <v>1</v>
      </c>
      <c r="AP29" t="str" cm="1">
        <f t="array" ref="AP29">_xlfn.IFS(AQ29=MAX(AQ29:AT29),"road",AR29=MAX(AQ29:AT29),"safety",AS29=MAX(AQ29:AT29),"waste",AT29=MAX(AQ29:AT29),"water")</f>
        <v>water</v>
      </c>
      <c r="AQ29" s="2">
        <f t="shared" si="24"/>
        <v>0.14716321830444612</v>
      </c>
      <c r="AR29" s="2">
        <f t="shared" si="25"/>
        <v>0.10264297539955772</v>
      </c>
      <c r="AS29" s="2">
        <f t="shared" si="26"/>
        <v>8.3069647510808003E-2</v>
      </c>
      <c r="AT29" s="2">
        <f t="shared" si="27"/>
        <v>0.27738130185452231</v>
      </c>
      <c r="AU29" s="2"/>
      <c r="AW29" s="10">
        <f t="shared" si="4"/>
        <v>1</v>
      </c>
      <c r="AX29" s="2">
        <f t="shared" si="5"/>
        <v>0.611486188450588</v>
      </c>
      <c r="AY29" t="str" cm="1">
        <f t="array" ref="AY29">_xlfn.IFS(AZ29=MAX(AZ29:BC29),"road",BA29=MAX(AZ29:BC29),"safety",BB29=MAX(AZ29:BC29),"waste",BC29=MAX(AZ29:BC29),"water")</f>
        <v>water</v>
      </c>
      <c r="AZ29" s="2">
        <f t="shared" si="28"/>
        <v>0.257456773247564</v>
      </c>
      <c r="BA29" s="2">
        <f t="shared" si="29"/>
        <v>0.18823017093987182</v>
      </c>
      <c r="BB29" s="2">
        <f t="shared" si="30"/>
        <v>0.16257877934304732</v>
      </c>
      <c r="BC29" s="2">
        <f t="shared" si="31"/>
        <v>0.611486188450588</v>
      </c>
      <c r="BD29" s="2"/>
      <c r="BF29" s="2">
        <f t="shared" si="32"/>
        <v>0.33210016910193596</v>
      </c>
      <c r="BG29" s="2">
        <f t="shared" si="33"/>
        <v>0.28986058315535301</v>
      </c>
      <c r="BH29" s="2">
        <f t="shared" si="34"/>
        <v>0.27956575656202598</v>
      </c>
      <c r="BI29" s="2">
        <f t="shared" si="35"/>
        <v>1.0984734911806808</v>
      </c>
      <c r="BK29" s="7">
        <f t="shared" si="6"/>
        <v>1</v>
      </c>
      <c r="BL29" t="str" cm="1">
        <f t="array" ref="BL29">_xlfn.IFS(BO29=MAX(BO29:BV29),"road",BR29=MAX(BO29:BV29),"water",BT29=MAX(BO29:BV29),"safety",BU29=MAX(BO29:BV29),"waste",BV29=MAX(BO29:BV29),"water")</f>
        <v>water</v>
      </c>
      <c r="BM29">
        <f t="shared" si="7"/>
        <v>1</v>
      </c>
      <c r="BN29" t="str" cm="1">
        <f t="array" ref="BN29">_xlfn.IFS(BO29=MAX(BO29:BR29),"road",BP29=MAX(BO29:BR29),"safety",BQ29=MAX(BO29:BR29),"waste",BR29=MAX(BO29:BR29),"water")</f>
        <v>water</v>
      </c>
      <c r="BO29" s="1">
        <f t="shared" si="36"/>
        <v>1.4178490026908768</v>
      </c>
      <c r="BP29" s="1">
        <f t="shared" si="37"/>
        <v>0.97268411221234596</v>
      </c>
      <c r="BQ29" s="1">
        <f t="shared" si="38"/>
        <v>1.0884758826063943</v>
      </c>
      <c r="BR29" s="1">
        <f t="shared" si="39"/>
        <v>4.3621044188074345</v>
      </c>
      <c r="BS29" s="1">
        <f t="shared" si="40"/>
        <v>1.5299988040893513</v>
      </c>
      <c r="BT29" s="1">
        <f t="shared" si="41"/>
        <v>0.60825466903441605</v>
      </c>
      <c r="BU29" s="1">
        <f t="shared" si="42"/>
        <v>0.45773071077384003</v>
      </c>
      <c r="BV29" s="1">
        <f t="shared" si="43"/>
        <v>1.7228652289100765</v>
      </c>
      <c r="BX29" s="1"/>
      <c r="BY29" s="1"/>
      <c r="BZ29" s="1"/>
      <c r="CA29" s="1"/>
    </row>
    <row r="30" spans="1:79" x14ac:dyDescent="0.25">
      <c r="A30" t="s">
        <v>45</v>
      </c>
      <c r="B30" s="6" t="s">
        <v>22</v>
      </c>
      <c r="C30" t="s">
        <v>3</v>
      </c>
      <c r="D30" t="s">
        <v>15</v>
      </c>
      <c r="E30" t="s">
        <v>3</v>
      </c>
      <c r="F30" t="s">
        <v>22</v>
      </c>
      <c r="G30" s="3">
        <v>0.30669161897408198</v>
      </c>
      <c r="H30" s="3">
        <v>0.20905756166630801</v>
      </c>
      <c r="I30" s="3">
        <v>0.26941471961031999</v>
      </c>
      <c r="J30" s="2">
        <v>0.21483609974928899</v>
      </c>
      <c r="K30" s="3">
        <v>0.275063715786247</v>
      </c>
      <c r="L30" s="3">
        <v>0.189361894529011</v>
      </c>
      <c r="M30" s="3">
        <v>0.25502780019646898</v>
      </c>
      <c r="N30" s="3">
        <v>0.28054658948827099</v>
      </c>
      <c r="O30" s="11">
        <f t="shared" si="8"/>
        <v>0.30669161897408198</v>
      </c>
      <c r="Q30">
        <f t="shared" si="0"/>
        <v>0</v>
      </c>
      <c r="R30" t="str" cm="1">
        <f t="array" ref="R30">_xlfn.IFS(S30=MAX(S30:V30),"road",T30=MAX(S30:V30),"safety",U30=MAX(S30:V30),"waste",V30=MAX(S30:V30),"water")</f>
        <v>road</v>
      </c>
      <c r="S30" s="1">
        <f t="shared" si="9"/>
        <v>0.24024176819636422</v>
      </c>
      <c r="T30" s="1">
        <f t="shared" si="10"/>
        <v>0.14982458586085406</v>
      </c>
      <c r="U30" s="1">
        <f t="shared" si="11"/>
        <v>0.20655128503457865</v>
      </c>
      <c r="V30" s="1">
        <f t="shared" si="12"/>
        <v>0.15754647314947862</v>
      </c>
      <c r="W30" s="1"/>
      <c r="X30" s="1">
        <f t="shared" si="13"/>
        <v>0.24297294894451818</v>
      </c>
      <c r="Y30" s="1">
        <f t="shared" si="14"/>
        <v>0.14202142089675826</v>
      </c>
      <c r="Z30" s="1">
        <f t="shared" si="15"/>
        <v>0.17001853346431267</v>
      </c>
      <c r="AA30" s="1">
        <f t="shared" si="16"/>
        <v>0.19638261264178969</v>
      </c>
      <c r="AB30" s="8">
        <f t="shared" si="2"/>
        <v>0</v>
      </c>
      <c r="AC30" t="str" cm="1">
        <f t="array" ref="AC30">_xlfn.IFS(AD30=MAX(AD30:AG30),"road",AE30=MAX(AD30:AG30),"safety",AF30=MAX(AD30:AG30),"waste",AG30=MAX(AD30:AG30),"water")</f>
        <v>road</v>
      </c>
      <c r="AD30" s="1">
        <f t="shared" si="46"/>
        <v>0.24297294894451818</v>
      </c>
      <c r="AE30" s="1">
        <f t="shared" si="47"/>
        <v>0.14202142089675826</v>
      </c>
      <c r="AF30" s="1">
        <f t="shared" si="48"/>
        <v>0.17001853346431267</v>
      </c>
      <c r="AG30" s="1">
        <f t="shared" si="49"/>
        <v>0.19638261264178969</v>
      </c>
      <c r="AI30" s="8">
        <f t="shared" si="3"/>
        <v>0</v>
      </c>
      <c r="AJ30" t="str" cm="1">
        <f t="array" ref="AJ30">_xlfn.IFS(AK30=MAX(AK30:AN30),"road",AL30=MAX(AK30:AN30),"safety",AM30=MAX(AK30:AN30),"waste",AN30=MAX(AK30:AN30),"water")</f>
        <v>road</v>
      </c>
      <c r="AK30" s="2">
        <f t="shared" si="45"/>
        <v>0.22022162084666719</v>
      </c>
      <c r="AL30" s="2">
        <f t="shared" si="20"/>
        <v>0.12984797441274018</v>
      </c>
      <c r="AM30" s="2">
        <f t="shared" si="21"/>
        <v>0.16868354944490588</v>
      </c>
      <c r="AN30" s="2">
        <f t="shared" si="22"/>
        <v>0.12341140396709158</v>
      </c>
      <c r="AO30" s="8">
        <f t="shared" si="23"/>
        <v>0</v>
      </c>
      <c r="AP30" t="str" cm="1">
        <f t="array" ref="AP30">_xlfn.IFS(AQ30=MAX(AQ30:AT30),"road",AR30=MAX(AQ30:AT30),"safety",AS30=MAX(AQ30:AT30),"waste",AT30=MAX(AQ30:AT30),"water")</f>
        <v>road</v>
      </c>
      <c r="AQ30" s="2">
        <f t="shared" si="24"/>
        <v>0.22677475234821698</v>
      </c>
      <c r="AR30" s="2">
        <f t="shared" si="25"/>
        <v>0.12781927880708244</v>
      </c>
      <c r="AS30" s="2">
        <f t="shared" si="26"/>
        <v>0.13884846899585535</v>
      </c>
      <c r="AT30" s="2">
        <f t="shared" si="27"/>
        <v>0.15056000302537209</v>
      </c>
      <c r="AU30" s="2"/>
      <c r="AW30" s="10">
        <f t="shared" si="4"/>
        <v>0</v>
      </c>
      <c r="AX30" s="2">
        <f t="shared" si="5"/>
        <v>0.44699637319488417</v>
      </c>
      <c r="AY30" t="str" cm="1">
        <f t="array" ref="AY30">_xlfn.IFS(AZ30=MAX(AZ30:BC30),"road",BA30=MAX(AZ30:BC30),"safety",BB30=MAX(AZ30:BC30),"waste",BC30=MAX(AZ30:BC30),"water")</f>
        <v>road</v>
      </c>
      <c r="AZ30" s="2">
        <f t="shared" si="28"/>
        <v>0.44699637319488417</v>
      </c>
      <c r="BA30" s="2">
        <f t="shared" si="29"/>
        <v>0.25766725321982265</v>
      </c>
      <c r="BB30" s="2">
        <f t="shared" si="30"/>
        <v>0.30753201844076122</v>
      </c>
      <c r="BC30" s="2">
        <f t="shared" si="31"/>
        <v>0.2739714069924637</v>
      </c>
      <c r="BD30" s="2"/>
      <c r="BF30" s="2">
        <f t="shared" si="32"/>
        <v>0.58175533476032903</v>
      </c>
      <c r="BG30" s="2">
        <f t="shared" si="33"/>
        <v>0.39841945619531904</v>
      </c>
      <c r="BH30" s="2">
        <f t="shared" si="34"/>
        <v>0.52444251980678902</v>
      </c>
      <c r="BI30" s="2">
        <f t="shared" si="35"/>
        <v>0.49538268923756001</v>
      </c>
      <c r="BK30" s="7">
        <f t="shared" si="6"/>
        <v>0</v>
      </c>
      <c r="BL30" t="str" cm="1">
        <f t="array" ref="BL30">_xlfn.IFS(BO30=MAX(BO30:BV30),"road",BR30=MAX(BO30:BV30),"water",BT30=MAX(BO30:BV30),"safety",BU30=MAX(BO30:BV30),"waste",BV30=MAX(BO30:BV30),"water")</f>
        <v>road</v>
      </c>
      <c r="BM30">
        <f t="shared" si="7"/>
        <v>0</v>
      </c>
      <c r="BN30" t="str" cm="1">
        <f t="array" ref="BN30">_xlfn.IFS(BO30=MAX(BO30:BR30),"road",BP30=MAX(BO30:BR30),"safety",BQ30=MAX(BO30:BR30),"waste",BR30=MAX(BO30:BR30),"water")</f>
        <v>road</v>
      </c>
      <c r="BO30" s="1">
        <f t="shared" si="36"/>
        <v>2.8309995597607567</v>
      </c>
      <c r="BP30" s="1">
        <f t="shared" si="37"/>
        <v>1.4757004352915859</v>
      </c>
      <c r="BQ30" s="1">
        <f t="shared" si="38"/>
        <v>2.3092690252313139</v>
      </c>
      <c r="BR30" s="1">
        <f t="shared" si="39"/>
        <v>1.6112707481196675</v>
      </c>
      <c r="BS30" s="1">
        <f t="shared" si="40"/>
        <v>2.3576889924535456</v>
      </c>
      <c r="BT30" s="1">
        <f t="shared" si="41"/>
        <v>0.75744757811604402</v>
      </c>
      <c r="BU30" s="1">
        <f t="shared" si="42"/>
        <v>0.76508340058940694</v>
      </c>
      <c r="BV30" s="1">
        <f t="shared" si="43"/>
        <v>0.93515529829423671</v>
      </c>
      <c r="BX30" s="1"/>
      <c r="BY30" s="1"/>
      <c r="BZ30" s="1"/>
      <c r="CA30" s="1"/>
    </row>
    <row r="31" spans="1:79" x14ac:dyDescent="0.25">
      <c r="A31" t="s">
        <v>46</v>
      </c>
      <c r="B31" s="6" t="s">
        <v>22</v>
      </c>
      <c r="C31" t="s">
        <v>22</v>
      </c>
      <c r="D31" t="s">
        <v>15</v>
      </c>
      <c r="E31" t="s">
        <v>22</v>
      </c>
      <c r="F31" t="s">
        <v>22</v>
      </c>
      <c r="G31" s="3">
        <v>0.192855053815563</v>
      </c>
      <c r="H31" s="3">
        <v>0.12985862798182199</v>
      </c>
      <c r="I31" s="3">
        <v>0.185711696738348</v>
      </c>
      <c r="J31" s="3">
        <v>0.491574621464266</v>
      </c>
      <c r="K31" s="3">
        <v>0.21114604583798</v>
      </c>
      <c r="L31" s="3">
        <v>0.15793252642515601</v>
      </c>
      <c r="M31" s="3">
        <v>0.21275855797828699</v>
      </c>
      <c r="N31" s="3">
        <v>0.41816286975857597</v>
      </c>
      <c r="O31" s="11">
        <f t="shared" si="8"/>
        <v>0.491574621464266</v>
      </c>
      <c r="Q31">
        <f t="shared" si="0"/>
        <v>1</v>
      </c>
      <c r="R31" t="str" cm="1">
        <f t="array" ref="R31">_xlfn.IFS(S31=MAX(S31:V31),"road",T31=MAX(S31:V31),"safety",U31=MAX(S31:V31),"waste",V31=MAX(S31:V31),"water")</f>
        <v>water</v>
      </c>
      <c r="S31" s="1">
        <f t="shared" si="9"/>
        <v>0.15106979215552435</v>
      </c>
      <c r="T31" s="1">
        <f t="shared" si="10"/>
        <v>9.3065350053639098E-2</v>
      </c>
      <c r="U31" s="1">
        <f t="shared" si="11"/>
        <v>0.14237896749940013</v>
      </c>
      <c r="V31" s="1">
        <f t="shared" si="12"/>
        <v>0.36048805574046178</v>
      </c>
      <c r="W31" s="1"/>
      <c r="X31" s="1">
        <f t="shared" si="13"/>
        <v>0.18651234049021564</v>
      </c>
      <c r="Y31" s="1">
        <f t="shared" si="14"/>
        <v>0.11844939481886702</v>
      </c>
      <c r="Z31" s="1">
        <f t="shared" si="15"/>
        <v>0.14183903865219136</v>
      </c>
      <c r="AA31" s="1">
        <f t="shared" si="16"/>
        <v>0.29271400883100318</v>
      </c>
      <c r="AB31" s="8">
        <f t="shared" si="2"/>
        <v>1</v>
      </c>
      <c r="AC31" t="str" cm="1">
        <f t="array" ref="AC31">_xlfn.IFS(AD31=MAX(AD31:AG31),"road",AE31=MAX(AD31:AG31),"safety",AF31=MAX(AD31:AG31),"waste",AG31=MAX(AD31:AG31),"water")</f>
        <v>water</v>
      </c>
      <c r="AD31" s="1">
        <f t="shared" si="46"/>
        <v>0.18651234049021564</v>
      </c>
      <c r="AE31" s="1">
        <f t="shared" si="47"/>
        <v>0.11844939481886702</v>
      </c>
      <c r="AF31" s="1">
        <f t="shared" si="48"/>
        <v>0.14183903865219136</v>
      </c>
      <c r="AG31" s="1">
        <f t="shared" si="49"/>
        <v>0.29271400883100318</v>
      </c>
      <c r="AI31" s="8">
        <f t="shared" si="3"/>
        <v>1</v>
      </c>
      <c r="AJ31" t="str" cm="1">
        <f t="array" ref="AJ31">_xlfn.IFS(AK31=MAX(AK31:AN31),"road",AL31=MAX(AK31:AN31),"safety",AM31=MAX(AK31:AN31),"waste",AN31=MAX(AK31:AN31),"water")</f>
        <v>water</v>
      </c>
      <c r="AK31" s="2">
        <f t="shared" si="45"/>
        <v>0.13848064280923064</v>
      </c>
      <c r="AL31" s="2">
        <f t="shared" si="20"/>
        <v>8.0656636713153887E-2</v>
      </c>
      <c r="AM31" s="2">
        <f t="shared" si="21"/>
        <v>0.11627615679117677</v>
      </c>
      <c r="AN31" s="2">
        <f t="shared" si="22"/>
        <v>0.28238231033002836</v>
      </c>
      <c r="AO31" s="8">
        <f t="shared" si="23"/>
        <v>1</v>
      </c>
      <c r="AP31" t="str" cm="1">
        <f t="array" ref="AP31">_xlfn.IFS(AQ31=MAX(AQ31:AT31),"road",AR31=MAX(AQ31:AT31),"safety",AS31=MAX(AQ31:AT31),"waste",AT31=MAX(AQ31:AT31),"water")</f>
        <v>water</v>
      </c>
      <c r="AQ31" s="2">
        <f t="shared" si="24"/>
        <v>0.17407818445753459</v>
      </c>
      <c r="AR31" s="2">
        <f t="shared" si="25"/>
        <v>0.10660445533698032</v>
      </c>
      <c r="AS31" s="2">
        <f t="shared" si="26"/>
        <v>0.11583521489928961</v>
      </c>
      <c r="AT31" s="2">
        <f t="shared" si="27"/>
        <v>0.22441407343710243</v>
      </c>
      <c r="AU31" s="2"/>
      <c r="AW31" s="10">
        <f t="shared" si="4"/>
        <v>1</v>
      </c>
      <c r="AX31" s="2">
        <f t="shared" si="5"/>
        <v>0.50679638376713076</v>
      </c>
      <c r="AY31" t="str" cm="1">
        <f t="array" ref="AY31">_xlfn.IFS(AZ31=MAX(AZ31:BC31),"road",BA31=MAX(AZ31:BC31),"safety",BB31=MAX(AZ31:BC31),"waste",BC31=MAX(AZ31:BC31),"water")</f>
        <v>water</v>
      </c>
      <c r="AZ31" s="2">
        <f t="shared" si="28"/>
        <v>0.3125588272667652</v>
      </c>
      <c r="BA31" s="2">
        <f t="shared" si="29"/>
        <v>0.18726109205013419</v>
      </c>
      <c r="BB31" s="2">
        <f t="shared" si="30"/>
        <v>0.23211137169046636</v>
      </c>
      <c r="BC31" s="2">
        <f t="shared" si="31"/>
        <v>0.50679638376713076</v>
      </c>
      <c r="BD31" s="2"/>
      <c r="BF31" s="2">
        <f t="shared" si="32"/>
        <v>0.40400109965354303</v>
      </c>
      <c r="BG31" s="2">
        <f t="shared" si="33"/>
        <v>0.287791154406978</v>
      </c>
      <c r="BH31" s="2">
        <f t="shared" si="34"/>
        <v>0.398470254716635</v>
      </c>
      <c r="BI31" s="2">
        <f t="shared" si="35"/>
        <v>0.90973749122284198</v>
      </c>
      <c r="BK31" s="7">
        <f t="shared" si="6"/>
        <v>1</v>
      </c>
      <c r="BL31" t="str" cm="1">
        <f t="array" ref="BL31">_xlfn.IFS(BO31=MAX(BO31:BV31),"road",BR31=MAX(BO31:BV31),"water",BT31=MAX(BO31:BV31),"safety",BU31=MAX(BO31:BV31),"waste",BV31=MAX(BO31:BV31),"water")</f>
        <v>water</v>
      </c>
      <c r="BM31">
        <f t="shared" si="7"/>
        <v>1</v>
      </c>
      <c r="BN31" t="str" cm="1">
        <f t="array" ref="BN31">_xlfn.IFS(BO31=MAX(BO31:BR31),"road",BP31=MAX(BO31:BR31),"safety",BQ31=MAX(BO31:BR31),"waste",BR31=MAX(BO31:BR31),"water")</f>
        <v>water</v>
      </c>
      <c r="BO31" s="1">
        <f t="shared" si="36"/>
        <v>1.780200496759043</v>
      </c>
      <c r="BP31" s="1">
        <f t="shared" si="37"/>
        <v>0.91664913869521403</v>
      </c>
      <c r="BQ31" s="1">
        <f t="shared" si="38"/>
        <v>1.5918145434715543</v>
      </c>
      <c r="BR31" s="1">
        <f t="shared" si="39"/>
        <v>3.6868096609819951</v>
      </c>
      <c r="BS31" s="1">
        <f t="shared" si="40"/>
        <v>1.8098232500398286</v>
      </c>
      <c r="BT31" s="1">
        <f t="shared" si="41"/>
        <v>0.63173010570062405</v>
      </c>
      <c r="BU31" s="1">
        <f t="shared" si="42"/>
        <v>0.63827567393486107</v>
      </c>
      <c r="BV31" s="1">
        <f t="shared" si="43"/>
        <v>1.3938762325285867</v>
      </c>
      <c r="BX31" s="1"/>
      <c r="BY31" s="1"/>
      <c r="BZ31" s="1"/>
      <c r="CA31" s="1"/>
    </row>
    <row r="32" spans="1:79" x14ac:dyDescent="0.25">
      <c r="A32" t="s">
        <v>47</v>
      </c>
      <c r="B32" s="6" t="s">
        <v>22</v>
      </c>
      <c r="C32" t="s">
        <v>22</v>
      </c>
      <c r="D32" t="s">
        <v>15</v>
      </c>
      <c r="E32" t="s">
        <v>22</v>
      </c>
      <c r="F32" t="s">
        <v>22</v>
      </c>
      <c r="G32" s="2">
        <v>0.18085670387396799</v>
      </c>
      <c r="H32" s="3">
        <v>0.16553828951253399</v>
      </c>
      <c r="I32" s="3">
        <v>0.152554094821578</v>
      </c>
      <c r="J32" s="2">
        <v>0.50105091179191896</v>
      </c>
      <c r="K32" s="3">
        <v>0.192298030351958</v>
      </c>
      <c r="L32" s="3">
        <v>0.16757584781748799</v>
      </c>
      <c r="M32" s="3">
        <v>0.16837237995156701</v>
      </c>
      <c r="N32" s="3">
        <v>0.471753741878984</v>
      </c>
      <c r="O32" s="11">
        <f t="shared" si="8"/>
        <v>0.50105091179191896</v>
      </c>
      <c r="Q32">
        <f t="shared" si="0"/>
        <v>1</v>
      </c>
      <c r="R32" t="str" cm="1">
        <f t="array" ref="R32">_xlfn.IFS(S32=MAX(S32:V32),"road",T32=MAX(S32:V32),"safety",U32=MAX(S32:V32),"waste",V32=MAX(S32:V32),"water")</f>
        <v>water</v>
      </c>
      <c r="S32" s="1">
        <f t="shared" si="9"/>
        <v>0.14167108470127493</v>
      </c>
      <c r="T32" s="1">
        <f t="shared" si="10"/>
        <v>0.11863577415064937</v>
      </c>
      <c r="U32" s="1">
        <f t="shared" si="11"/>
        <v>0.1169581393632098</v>
      </c>
      <c r="V32" s="1">
        <f t="shared" si="12"/>
        <v>0.36743733531407391</v>
      </c>
      <c r="W32" s="1"/>
      <c r="X32" s="1">
        <f t="shared" si="13"/>
        <v>0.16986326014422956</v>
      </c>
      <c r="Y32" s="1">
        <f t="shared" si="14"/>
        <v>0.12568188586311599</v>
      </c>
      <c r="Z32" s="1">
        <f t="shared" si="15"/>
        <v>0.11224825330104468</v>
      </c>
      <c r="AA32" s="1">
        <f t="shared" si="16"/>
        <v>0.33022761931528877</v>
      </c>
      <c r="AB32" s="8">
        <f t="shared" si="2"/>
        <v>1</v>
      </c>
      <c r="AC32" t="str" cm="1">
        <f t="array" ref="AC32">_xlfn.IFS(AD32=MAX(AD32:AG32),"road",AE32=MAX(AD32:AG32),"safety",AF32=MAX(AD32:AG32),"waste",AG32=MAX(AD32:AG32),"water")</f>
        <v>water</v>
      </c>
      <c r="AD32" s="1">
        <f t="shared" si="46"/>
        <v>0.16986326014422956</v>
      </c>
      <c r="AE32" s="1">
        <f t="shared" si="47"/>
        <v>0.12568188586311599</v>
      </c>
      <c r="AF32" s="1">
        <f t="shared" si="48"/>
        <v>0.11224825330104468</v>
      </c>
      <c r="AG32" s="1">
        <f t="shared" si="49"/>
        <v>0.33022761931528877</v>
      </c>
      <c r="AI32" s="8">
        <f t="shared" si="3"/>
        <v>1</v>
      </c>
      <c r="AJ32" t="str" cm="1">
        <f t="array" ref="AJ32">_xlfn.IFS(AK32=MAX(AK32:AN32),"road",AL32=MAX(AK32:AN32),"safety",AM32=MAX(AK32:AN32),"waste",AN32=MAX(AK32:AN32),"water")</f>
        <v>water</v>
      </c>
      <c r="AK32" s="2">
        <f t="shared" si="45"/>
        <v>0.12986516097616868</v>
      </c>
      <c r="AL32" s="2">
        <f t="shared" si="20"/>
        <v>0.10281767093056279</v>
      </c>
      <c r="AM32" s="2">
        <f t="shared" si="21"/>
        <v>9.5515813813287997E-2</v>
      </c>
      <c r="AN32" s="2">
        <f t="shared" si="22"/>
        <v>0.28782591266269125</v>
      </c>
      <c r="AO32" s="8">
        <f t="shared" si="23"/>
        <v>1</v>
      </c>
      <c r="AP32" t="str" cm="1">
        <f t="array" ref="AP32">_xlfn.IFS(AQ32=MAX(AQ32:AT32),"road",AR32=MAX(AQ32:AT32),"safety",AS32=MAX(AQ32:AT32),"waste",AT32=MAX(AQ32:AT32),"water")</f>
        <v>water</v>
      </c>
      <c r="AQ32" s="2">
        <f t="shared" si="24"/>
        <v>0.15853904280128092</v>
      </c>
      <c r="AR32" s="2">
        <f t="shared" si="25"/>
        <v>0.1131136972768044</v>
      </c>
      <c r="AS32" s="2">
        <f t="shared" si="26"/>
        <v>9.1669406862519828E-2</v>
      </c>
      <c r="AT32" s="2">
        <f t="shared" si="27"/>
        <v>0.25317450814172138</v>
      </c>
      <c r="AU32" s="2"/>
      <c r="AW32" s="10">
        <f t="shared" si="4"/>
        <v>1</v>
      </c>
      <c r="AX32" s="2">
        <f t="shared" si="5"/>
        <v>0.54100042080441257</v>
      </c>
      <c r="AY32" t="str" cm="1">
        <f t="array" ref="AY32">_xlfn.IFS(AZ32=MAX(AZ32:BC32),"road",BA32=MAX(AZ32:BC32),"safety",BB32=MAX(AZ32:BC32),"waste",BC32=MAX(AZ32:BC32),"water")</f>
        <v>water</v>
      </c>
      <c r="AZ32" s="2">
        <f t="shared" si="28"/>
        <v>0.28840420377744957</v>
      </c>
      <c r="BA32" s="2">
        <f t="shared" si="29"/>
        <v>0.21593136820736719</v>
      </c>
      <c r="BB32" s="2">
        <f t="shared" si="30"/>
        <v>0.18718522067580784</v>
      </c>
      <c r="BC32" s="2">
        <f t="shared" si="31"/>
        <v>0.54100042080441257</v>
      </c>
      <c r="BD32" s="2"/>
      <c r="BF32" s="2">
        <f t="shared" si="32"/>
        <v>0.37315473422592599</v>
      </c>
      <c r="BG32" s="2">
        <f t="shared" si="33"/>
        <v>0.33311413733002199</v>
      </c>
      <c r="BH32" s="2">
        <f t="shared" si="34"/>
        <v>0.32092647477314501</v>
      </c>
      <c r="BI32" s="2">
        <f t="shared" si="35"/>
        <v>0.97280465367090296</v>
      </c>
      <c r="BK32" s="7">
        <f t="shared" si="6"/>
        <v>1</v>
      </c>
      <c r="BL32" t="str" cm="1">
        <f t="array" ref="BL32">_xlfn.IFS(BO32=MAX(BO32:BV32),"road",BR32=MAX(BO32:BV32),"water",BT32=MAX(BO32:BV32),"safety",BU32=MAX(BO32:BV32),"waste",BV32=MAX(BO32:BV32),"water")</f>
        <v>water</v>
      </c>
      <c r="BM32">
        <f t="shared" si="7"/>
        <v>1</v>
      </c>
      <c r="BN32" t="str" cm="1">
        <f t="array" ref="BN32">_xlfn.IFS(BO32=MAX(BO32:BR32),"road",BP32=MAX(BO32:BR32),"safety",BQ32=MAX(BO32:BR32),"waste",BR32=MAX(BO32:BR32),"water")</f>
        <v>water</v>
      </c>
      <c r="BO32" s="1">
        <f t="shared" si="36"/>
        <v>1.669446497298166</v>
      </c>
      <c r="BP32" s="1">
        <f t="shared" si="37"/>
        <v>1.1685055730296516</v>
      </c>
      <c r="BQ32" s="1">
        <f t="shared" si="38"/>
        <v>1.3076065270420971</v>
      </c>
      <c r="BR32" s="1">
        <f t="shared" si="39"/>
        <v>3.7578818384393924</v>
      </c>
      <c r="BS32" s="1">
        <f t="shared" si="40"/>
        <v>1.6482688315882115</v>
      </c>
      <c r="BT32" s="1">
        <f t="shared" si="41"/>
        <v>0.67030339126995198</v>
      </c>
      <c r="BU32" s="1">
        <f t="shared" si="42"/>
        <v>0.50511713985470108</v>
      </c>
      <c r="BV32" s="1">
        <f t="shared" si="43"/>
        <v>1.5725124729299467</v>
      </c>
      <c r="BX32" s="1"/>
      <c r="BY32" s="1"/>
      <c r="BZ32" s="1"/>
      <c r="CA32" s="1"/>
    </row>
    <row r="33" spans="1:79" x14ac:dyDescent="0.25">
      <c r="A33" t="s">
        <v>48</v>
      </c>
      <c r="B33" s="6" t="s">
        <v>24</v>
      </c>
      <c r="C33" t="s">
        <v>24</v>
      </c>
      <c r="D33" t="s">
        <v>15</v>
      </c>
      <c r="E33" t="s">
        <v>24</v>
      </c>
      <c r="F33" t="s">
        <v>24</v>
      </c>
      <c r="G33" s="3">
        <v>0.242897589740765</v>
      </c>
      <c r="H33" s="3">
        <v>0.30154779293817202</v>
      </c>
      <c r="I33" s="3">
        <v>0.28110720480940699</v>
      </c>
      <c r="J33" s="3">
        <v>0.17444741251165399</v>
      </c>
      <c r="K33" s="3">
        <v>0.224989542297412</v>
      </c>
      <c r="L33" s="3">
        <v>0.29065450803116899</v>
      </c>
      <c r="M33" s="3">
        <v>0.28606201892283101</v>
      </c>
      <c r="N33" s="3">
        <v>0.19829393074858601</v>
      </c>
      <c r="O33" s="11">
        <f t="shared" si="8"/>
        <v>0.30154779293817202</v>
      </c>
      <c r="Q33">
        <f t="shared" si="0"/>
        <v>1</v>
      </c>
      <c r="R33" t="str" cm="1">
        <f t="array" ref="R33">_xlfn.IFS(S33=MAX(S33:V33),"road",T33=MAX(S33:V33),"safety",U33=MAX(S33:V33),"waste",V33=MAX(S33:V33),"water")</f>
        <v>safety</v>
      </c>
      <c r="S33" s="1">
        <f t="shared" si="9"/>
        <v>0.19026977863026592</v>
      </c>
      <c r="T33" s="1">
        <f t="shared" si="10"/>
        <v>0.21610925160568994</v>
      </c>
      <c r="U33" s="1">
        <f t="shared" si="11"/>
        <v>0.215515523687212</v>
      </c>
      <c r="V33" s="1">
        <f t="shared" si="12"/>
        <v>0.12792810250854628</v>
      </c>
      <c r="W33" s="1"/>
      <c r="X33" s="1">
        <f t="shared" si="13"/>
        <v>0.19874076236271393</v>
      </c>
      <c r="Y33" s="1">
        <f t="shared" si="14"/>
        <v>0.21799088102337674</v>
      </c>
      <c r="Z33" s="1">
        <f t="shared" si="15"/>
        <v>0.19070801261522069</v>
      </c>
      <c r="AA33" s="1">
        <f t="shared" si="16"/>
        <v>0.1388057515240102</v>
      </c>
      <c r="AB33" s="8">
        <f t="shared" si="2"/>
        <v>1</v>
      </c>
      <c r="AC33" t="str" cm="1">
        <f t="array" ref="AC33">_xlfn.IFS(AD33=MAX(AD33:AG33),"road",AE33=MAX(AD33:AG33),"safety",AF33=MAX(AD33:AG33),"waste",AG33=MAX(AD33:AG33),"water")</f>
        <v>safety</v>
      </c>
      <c r="AD33" s="1">
        <f t="shared" si="46"/>
        <v>0.19874076236271393</v>
      </c>
      <c r="AE33" s="1">
        <f t="shared" si="47"/>
        <v>0.21799088102337674</v>
      </c>
      <c r="AF33" s="1">
        <f t="shared" si="48"/>
        <v>0.19070801261522069</v>
      </c>
      <c r="AG33" s="1">
        <f t="shared" si="49"/>
        <v>0.1388057515240102</v>
      </c>
      <c r="AI33" s="8">
        <f t="shared" si="3"/>
        <v>1</v>
      </c>
      <c r="AJ33" t="str" cm="1">
        <f t="array" ref="AJ33">_xlfn.IFS(AK33=MAX(AK33:AN33),"road",AL33=MAX(AK33:AN33),"safety",AM33=MAX(AK33:AN33),"waste",AN33=MAX(AK33:AN33),"water")</f>
        <v>safety</v>
      </c>
      <c r="AK33" s="2">
        <f t="shared" si="45"/>
        <v>0.17441396374441043</v>
      </c>
      <c r="AL33" s="2">
        <f t="shared" si="20"/>
        <v>0.1872946847249313</v>
      </c>
      <c r="AM33" s="2">
        <f t="shared" si="21"/>
        <v>0.17600434434455647</v>
      </c>
      <c r="AN33" s="2">
        <f t="shared" si="22"/>
        <v>0.10021034696502791</v>
      </c>
      <c r="AO33" s="8">
        <f t="shared" si="23"/>
        <v>1</v>
      </c>
      <c r="AP33" t="str" cm="1">
        <f t="array" ref="AP33">_xlfn.IFS(AQ33=MAX(AQ33:AT33),"road",AR33=MAX(AQ33:AT33),"safety",AS33=MAX(AQ33:AT33),"waste",AT33=MAX(AQ33:AT33),"water")</f>
        <v>safety</v>
      </c>
      <c r="AQ33" s="2">
        <f t="shared" si="24"/>
        <v>0.18549137820519968</v>
      </c>
      <c r="AR33" s="2">
        <f t="shared" si="25"/>
        <v>0.19619179292103908</v>
      </c>
      <c r="AS33" s="2">
        <f t="shared" si="26"/>
        <v>0.15574487696909689</v>
      </c>
      <c r="AT33" s="2">
        <f t="shared" si="27"/>
        <v>0.10641774283507448</v>
      </c>
      <c r="AU33" s="2"/>
      <c r="AW33" s="10">
        <f t="shared" si="4"/>
        <v>1</v>
      </c>
      <c r="AX33" s="2">
        <f t="shared" si="5"/>
        <v>0.38348647764597038</v>
      </c>
      <c r="AY33" t="str" cm="1">
        <f t="array" ref="AY33">_xlfn.IFS(AZ33=MAX(AZ33:BC33),"road",BA33=MAX(AZ33:BC33),"safety",BB33=MAX(AZ33:BC33),"waste",BC33=MAX(AZ33:BC33),"water")</f>
        <v>safety</v>
      </c>
      <c r="AZ33" s="2">
        <f t="shared" si="28"/>
        <v>0.3599053419496101</v>
      </c>
      <c r="BA33" s="2">
        <f t="shared" si="29"/>
        <v>0.38348647764597038</v>
      </c>
      <c r="BB33" s="2">
        <f t="shared" si="30"/>
        <v>0.33174922131365336</v>
      </c>
      <c r="BC33" s="2">
        <f t="shared" si="31"/>
        <v>0.20662808980010239</v>
      </c>
      <c r="BD33" s="2"/>
      <c r="BF33" s="2">
        <f t="shared" si="32"/>
        <v>0.467887132038177</v>
      </c>
      <c r="BG33" s="2">
        <f t="shared" si="33"/>
        <v>0.59220230096934101</v>
      </c>
      <c r="BH33" s="2">
        <f t="shared" si="34"/>
        <v>0.56716922373223799</v>
      </c>
      <c r="BI33" s="2">
        <f t="shared" si="35"/>
        <v>0.37274134326024</v>
      </c>
      <c r="BK33" s="7" t="e">
        <f t="shared" si="6"/>
        <v>#N/A</v>
      </c>
      <c r="BL33" t="e" cm="1">
        <f t="array" ref="BL33">_xlfn.IFS(BO33=MAX(BO33:BV33),"road",BR33=MAX(BO33:BV33),"water",BT33=MAX(BO33:BV33),"safety",BU33=MAX(BO33:BV33),"waste",BV33=MAX(BO33:BV33),"water")</f>
        <v>#N/A</v>
      </c>
      <c r="BM33">
        <f t="shared" si="7"/>
        <v>0</v>
      </c>
      <c r="BN33" t="str" cm="1">
        <f t="array" ref="BN33">_xlfn.IFS(BO33=MAX(BO33:BR33),"road",BP33=MAX(BO33:BR33),"safety",BQ33=MAX(BO33:BR33),"waste",BR33=MAX(BO33:BR33),"water")</f>
        <v>waste</v>
      </c>
      <c r="BO33" s="1">
        <f t="shared" si="36"/>
        <v>2.2421315976070613</v>
      </c>
      <c r="BP33" s="1">
        <f t="shared" si="37"/>
        <v>2.1285726560341556</v>
      </c>
      <c r="BQ33" s="1">
        <f t="shared" si="38"/>
        <v>2.4094903269377741</v>
      </c>
      <c r="BR33" s="1">
        <f t="shared" si="39"/>
        <v>1.308355593837405</v>
      </c>
      <c r="BS33" s="1">
        <f t="shared" si="40"/>
        <v>1.9284817911206742</v>
      </c>
      <c r="BT33" s="1">
        <f t="shared" si="41"/>
        <v>1.162618032124676</v>
      </c>
      <c r="BU33" s="1">
        <f t="shared" si="42"/>
        <v>0.85818605676849302</v>
      </c>
      <c r="BV33" s="1">
        <f t="shared" si="43"/>
        <v>0.66097976916195333</v>
      </c>
      <c r="BX33" s="1"/>
      <c r="BY33" s="1"/>
      <c r="BZ33" s="1"/>
      <c r="CA33" s="1"/>
    </row>
    <row r="34" spans="1:79" x14ac:dyDescent="0.25">
      <c r="A34" t="s">
        <v>49</v>
      </c>
      <c r="B34" s="6" t="s">
        <v>24</v>
      </c>
      <c r="C34" t="s">
        <v>24</v>
      </c>
      <c r="D34" t="s">
        <v>15</v>
      </c>
      <c r="E34" t="s">
        <v>24</v>
      </c>
      <c r="F34" t="s">
        <v>24</v>
      </c>
      <c r="G34" s="3">
        <v>0.22418645131450499</v>
      </c>
      <c r="H34" s="3">
        <v>0.33898511272642201</v>
      </c>
      <c r="I34" s="3">
        <v>0.259120417704854</v>
      </c>
      <c r="J34" s="3">
        <v>0.177708018254217</v>
      </c>
      <c r="K34" s="3">
        <v>0.207935559924775</v>
      </c>
      <c r="L34" s="3">
        <v>0.29521626451167599</v>
      </c>
      <c r="M34" s="3">
        <v>0.28467452770549601</v>
      </c>
      <c r="N34" s="3">
        <v>0.21217364785805101</v>
      </c>
      <c r="O34" s="11">
        <f t="shared" si="8"/>
        <v>0.33898511272642201</v>
      </c>
      <c r="Q34">
        <f t="shared" si="0"/>
        <v>1</v>
      </c>
      <c r="R34" t="str" cm="1">
        <f t="array" ref="R34">_xlfn.IFS(S34=MAX(S34:V34),"road",T34=MAX(S34:V34),"safety",U34=MAX(S34:V34),"waste",V34=MAX(S34:V34),"water")</f>
        <v>safety</v>
      </c>
      <c r="S34" s="1">
        <f t="shared" si="9"/>
        <v>0.17561272019636223</v>
      </c>
      <c r="T34" s="1">
        <f t="shared" si="10"/>
        <v>0.24293933078726912</v>
      </c>
      <c r="U34" s="1">
        <f t="shared" si="11"/>
        <v>0.19865898690705472</v>
      </c>
      <c r="V34" s="1">
        <f t="shared" si="12"/>
        <v>0.13031921338642583</v>
      </c>
      <c r="W34" s="1"/>
      <c r="X34" s="1">
        <f t="shared" si="13"/>
        <v>0.18367641126688458</v>
      </c>
      <c r="Y34" s="1">
        <f t="shared" si="14"/>
        <v>0.22141219838375698</v>
      </c>
      <c r="Z34" s="1">
        <f t="shared" si="15"/>
        <v>0.18978301847033069</v>
      </c>
      <c r="AA34" s="1">
        <f t="shared" si="16"/>
        <v>0.1485215535006357</v>
      </c>
      <c r="AB34" s="8">
        <f t="shared" si="2"/>
        <v>1</v>
      </c>
      <c r="AC34" t="str" cm="1">
        <f t="array" ref="AC34">_xlfn.IFS(AD34=MAX(AD34:AG34),"road",AE34=MAX(AD34:AG34),"safety",AF34=MAX(AD34:AG34),"waste",AG34=MAX(AD34:AG34),"water")</f>
        <v>safety</v>
      </c>
      <c r="AD34" s="1">
        <f t="shared" si="46"/>
        <v>0.18367641126688458</v>
      </c>
      <c r="AE34" s="1">
        <f t="shared" si="47"/>
        <v>0.22141219838375698</v>
      </c>
      <c r="AF34" s="1">
        <f t="shared" si="48"/>
        <v>0.18978301847033069</v>
      </c>
      <c r="AG34" s="1">
        <f t="shared" si="49"/>
        <v>0.1485215535006357</v>
      </c>
      <c r="AI34" s="8">
        <f t="shared" si="3"/>
        <v>1</v>
      </c>
      <c r="AJ34" t="str" cm="1">
        <f t="array" ref="AJ34">_xlfn.IFS(AK34=MAX(AK34:AN34),"road",AL34=MAX(AK34:AN34),"safety",AM34=MAX(AK34:AN34),"waste",AN34=MAX(AK34:AN34),"water")</f>
        <v>safety</v>
      </c>
      <c r="AK34" s="2">
        <f t="shared" si="45"/>
        <v>0.16097832684666538</v>
      </c>
      <c r="AL34" s="2">
        <f t="shared" si="20"/>
        <v>0.21054742001563326</v>
      </c>
      <c r="AM34" s="2">
        <f t="shared" si="21"/>
        <v>0.16223817264076135</v>
      </c>
      <c r="AN34" s="2">
        <f t="shared" si="22"/>
        <v>0.10208338381936689</v>
      </c>
      <c r="AO34" s="8">
        <f t="shared" si="23"/>
        <v>1</v>
      </c>
      <c r="AP34" t="str" cm="1">
        <f t="array" ref="AP34">_xlfn.IFS(AQ34=MAX(AQ34:AT34),"road",AR34=MAX(AQ34:AT34),"safety",AS34=MAX(AQ34:AT34),"waste",AT34=MAX(AQ34:AT34),"water")</f>
        <v>safety</v>
      </c>
      <c r="AQ34" s="2">
        <f t="shared" si="24"/>
        <v>0.1714313171824256</v>
      </c>
      <c r="AR34" s="2">
        <f t="shared" si="25"/>
        <v>0.19927097854538128</v>
      </c>
      <c r="AS34" s="2">
        <f t="shared" si="26"/>
        <v>0.15498946508410338</v>
      </c>
      <c r="AT34" s="2">
        <f t="shared" si="27"/>
        <v>0.11386652435048736</v>
      </c>
      <c r="AU34" s="2"/>
      <c r="AW34" s="10">
        <f t="shared" si="4"/>
        <v>1</v>
      </c>
      <c r="AX34" s="2">
        <f t="shared" si="5"/>
        <v>0.40981839856101454</v>
      </c>
      <c r="AY34" t="str" cm="1">
        <f t="array" ref="AY34">_xlfn.IFS(AZ34=MAX(AZ34:BC34),"road",BA34=MAX(AZ34:BC34),"safety",BB34=MAX(AZ34:BC34),"waste",BC34=MAX(AZ34:BC34),"water")</f>
        <v>safety</v>
      </c>
      <c r="AZ34" s="2">
        <f t="shared" si="28"/>
        <v>0.33240964402909101</v>
      </c>
      <c r="BA34" s="2">
        <f t="shared" si="29"/>
        <v>0.40981839856101454</v>
      </c>
      <c r="BB34" s="2">
        <f t="shared" si="30"/>
        <v>0.31722763772486473</v>
      </c>
      <c r="BC34" s="2">
        <f t="shared" si="31"/>
        <v>0.21594990816985427</v>
      </c>
      <c r="BD34" s="2"/>
      <c r="BF34" s="2">
        <f t="shared" si="32"/>
        <v>0.43212201123927996</v>
      </c>
      <c r="BG34" s="2">
        <f t="shared" si="33"/>
        <v>0.634201377238098</v>
      </c>
      <c r="BH34" s="2">
        <f t="shared" si="34"/>
        <v>0.54379494541035001</v>
      </c>
      <c r="BI34" s="2">
        <f t="shared" si="35"/>
        <v>0.38988166611226804</v>
      </c>
      <c r="BK34" s="7" t="e">
        <f t="shared" si="6"/>
        <v>#N/A</v>
      </c>
      <c r="BL34" t="e" cm="1">
        <f t="array" ref="BL34">_xlfn.IFS(BO34=MAX(BO34:BV34),"road",BR34=MAX(BO34:BV34),"water",BT34=MAX(BO34:BV34),"safety",BU34=MAX(BO34:BV34),"waste",BV34=MAX(BO34:BV34),"water")</f>
        <v>#N/A</v>
      </c>
      <c r="BM34">
        <f t="shared" si="7"/>
        <v>1</v>
      </c>
      <c r="BN34" t="str" cm="1">
        <f t="array" ref="BN34">_xlfn.IFS(BO34=MAX(BO34:BR34),"road",BP34=MAX(BO34:BR34),"safety",BQ34=MAX(BO34:BR34),"waste",BR34=MAX(BO34:BR34),"water")</f>
        <v>safety</v>
      </c>
      <c r="BO34" s="1">
        <f t="shared" si="36"/>
        <v>2.0694133967492769</v>
      </c>
      <c r="BP34" s="1">
        <f t="shared" si="37"/>
        <v>2.3928360898335672</v>
      </c>
      <c r="BQ34" s="1">
        <f t="shared" si="38"/>
        <v>2.2210321517558915</v>
      </c>
      <c r="BR34" s="1">
        <f t="shared" si="39"/>
        <v>1.3328101369066276</v>
      </c>
      <c r="BS34" s="1">
        <f t="shared" si="40"/>
        <v>1.7823047993552144</v>
      </c>
      <c r="BT34" s="1">
        <f t="shared" si="41"/>
        <v>1.1808650580467039</v>
      </c>
      <c r="BU34" s="1">
        <f t="shared" si="42"/>
        <v>0.85402358311648807</v>
      </c>
      <c r="BV34" s="1">
        <f t="shared" si="43"/>
        <v>0.70724549286017002</v>
      </c>
      <c r="BX34" s="1"/>
      <c r="BY34" s="1"/>
      <c r="BZ34" s="1"/>
      <c r="CA34" s="1"/>
    </row>
    <row r="35" spans="1:79" x14ac:dyDescent="0.25">
      <c r="A35" t="s">
        <v>50</v>
      </c>
      <c r="B35" s="6" t="s">
        <v>24</v>
      </c>
      <c r="C35" t="s">
        <v>17</v>
      </c>
      <c r="D35" t="s">
        <v>15</v>
      </c>
      <c r="E35" t="s">
        <v>17</v>
      </c>
      <c r="F35" t="s">
        <v>17</v>
      </c>
      <c r="G35" s="3">
        <v>0.25329667883347901</v>
      </c>
      <c r="H35" s="3">
        <v>0.23093410060051001</v>
      </c>
      <c r="I35" s="3">
        <v>0.31236200173079998</v>
      </c>
      <c r="J35" s="3">
        <v>0.20340721883520901</v>
      </c>
      <c r="K35" s="3">
        <v>0.22595149442514001</v>
      </c>
      <c r="L35" s="3">
        <v>0.213666651874272</v>
      </c>
      <c r="M35" s="3">
        <v>0.33407514052927401</v>
      </c>
      <c r="N35" s="3">
        <v>0.22630671317131201</v>
      </c>
      <c r="O35" s="11">
        <f t="shared" si="8"/>
        <v>0.31236200173079998</v>
      </c>
      <c r="Q35">
        <f t="shared" ref="Q35:Q66" si="50">IF(R35=B35,1,0)</f>
        <v>0</v>
      </c>
      <c r="R35" t="str" cm="1">
        <f t="array" ref="R35">_xlfn.IFS(S35=MAX(S35:V35),"road",T35=MAX(S35:V35),"safety",U35=MAX(S35:V35),"waste",V35=MAX(S35:V35),"water")</f>
        <v>waste</v>
      </c>
      <c r="S35" s="1">
        <f t="shared" si="9"/>
        <v>0.19841573175289187</v>
      </c>
      <c r="T35" s="1">
        <f t="shared" si="10"/>
        <v>0.16550277209703218</v>
      </c>
      <c r="U35" s="1">
        <f t="shared" si="11"/>
        <v>0.23947753466027996</v>
      </c>
      <c r="V35" s="1">
        <f t="shared" si="12"/>
        <v>0.14916529381248661</v>
      </c>
      <c r="W35" s="1"/>
      <c r="X35" s="1">
        <f t="shared" si="13"/>
        <v>0.199590486742207</v>
      </c>
      <c r="Y35" s="1">
        <f t="shared" si="14"/>
        <v>0.16024998890570399</v>
      </c>
      <c r="Z35" s="1">
        <f t="shared" si="15"/>
        <v>0.22271676035284937</v>
      </c>
      <c r="AA35" s="1">
        <f t="shared" si="16"/>
        <v>0.15841469921991841</v>
      </c>
      <c r="AB35" s="8">
        <f t="shared" ref="AB35:AB66" si="51">IF(AC35=B35,1,0)</f>
        <v>0</v>
      </c>
      <c r="AC35" t="str" cm="1">
        <f t="array" ref="AC35">_xlfn.IFS(AD35=MAX(AD35:AG35),"road",AE35=MAX(AD35:AG35),"safety",AF35=MAX(AD35:AG35),"waste",AG35=MAX(AD35:AG35),"water")</f>
        <v>waste</v>
      </c>
      <c r="AD35" s="1">
        <f t="shared" ref="AD35:AD46" si="52">SUM(S35*Q98,X35)</f>
        <v>0.199590486742207</v>
      </c>
      <c r="AE35" s="1">
        <f t="shared" ref="AE35:AE62" si="53">SUM(T35*R98,Y35)</f>
        <v>0.16024998890570399</v>
      </c>
      <c r="AF35" s="1">
        <f t="shared" ref="AF35:AF62" si="54">SUM(U35*S98,Z35)</f>
        <v>0.22271676035284937</v>
      </c>
      <c r="AG35" s="1">
        <f t="shared" ref="AG35:AG62" si="55">SUM(V35*T98,AA35)</f>
        <v>0.15841469921991841</v>
      </c>
      <c r="AI35" s="8">
        <f t="shared" ref="AI35:AI66" si="56">IF(AJ35=B35,1,0)</f>
        <v>0</v>
      </c>
      <c r="AJ35" t="str" cm="1">
        <f t="array" ref="AJ35">_xlfn.IFS(AK35=MAX(AK35:AN35),"road",AL35=MAX(AK35:AN35),"safety",AM35=MAX(AK35:AN35),"waste",AN35=MAX(AK35:AN35),"water")</f>
        <v>waste</v>
      </c>
      <c r="AK35" s="2">
        <f>(G35*G$85)*G$86</f>
        <v>0.18188108744015088</v>
      </c>
      <c r="AL35" s="2">
        <f t="shared" si="20"/>
        <v>0.14343573581742788</v>
      </c>
      <c r="AM35" s="2">
        <f t="shared" si="21"/>
        <v>0.19557331997256197</v>
      </c>
      <c r="AN35" s="2">
        <f t="shared" si="22"/>
        <v>0.11684614681978117</v>
      </c>
      <c r="AO35" s="8">
        <f t="shared" si="23"/>
        <v>0</v>
      </c>
      <c r="AP35" t="str" cm="1">
        <f t="array" ref="AP35">_xlfn.IFS(AQ35=MAX(AQ35:AT35),"road",AR35=MAX(AQ35:AT35),"safety",AS35=MAX(AQ35:AT35),"waste",AT35=MAX(AQ35:AT35),"water")</f>
        <v>road</v>
      </c>
      <c r="AQ35" s="2">
        <f t="shared" si="24"/>
        <v>0.18628445429272653</v>
      </c>
      <c r="AR35" s="2">
        <f t="shared" si="25"/>
        <v>0.14422499001513359</v>
      </c>
      <c r="AS35" s="2">
        <f t="shared" si="26"/>
        <v>0.18188535428816033</v>
      </c>
      <c r="AT35" s="2">
        <f t="shared" si="27"/>
        <v>0.12145126940193744</v>
      </c>
      <c r="AU35" s="2"/>
      <c r="AW35" s="10">
        <f t="shared" ref="AW35:AW62" si="57">IF(AY35=B35,1,0)</f>
        <v>0</v>
      </c>
      <c r="AX35" s="2">
        <f t="shared" ref="AX35:AX62" si="58">MAX(AZ35:BC35)</f>
        <v>0.37745867426072233</v>
      </c>
      <c r="AY35" t="str" cm="1">
        <f t="array" ref="AY35">_xlfn.IFS(AZ35=MAX(AZ35:BC35),"road",BA35=MAX(AZ35:BC35),"safety",BB35=MAX(AZ35:BC35),"waste",BC35=MAX(AZ35:BC35),"water")</f>
        <v>waste</v>
      </c>
      <c r="AZ35" s="2">
        <f t="shared" si="28"/>
        <v>0.36816554173287741</v>
      </c>
      <c r="BA35" s="2">
        <f t="shared" si="29"/>
        <v>0.28766072583256147</v>
      </c>
      <c r="BB35" s="2">
        <f t="shared" si="30"/>
        <v>0.37745867426072233</v>
      </c>
      <c r="BC35" s="2">
        <f t="shared" si="31"/>
        <v>0.23829741622171863</v>
      </c>
      <c r="BD35" s="2"/>
      <c r="BF35" s="2">
        <f t="shared" si="32"/>
        <v>0.47924817325861901</v>
      </c>
      <c r="BG35" s="2">
        <f t="shared" si="33"/>
        <v>0.44460075247478203</v>
      </c>
      <c r="BH35" s="2">
        <f t="shared" si="34"/>
        <v>0.64643714226007398</v>
      </c>
      <c r="BI35" s="2">
        <f t="shared" si="35"/>
        <v>0.42971393200652103</v>
      </c>
      <c r="BK35" s="7" t="e">
        <f t="shared" ref="BK35:BK66" si="59">IF(BL35=B35,1,0)</f>
        <v>#N/A</v>
      </c>
      <c r="BL35" t="e" cm="1">
        <f t="array" ref="BL35">_xlfn.IFS(BO35=MAX(BO35:BV35),"road",BR35=MAX(BO35:BV35),"water",BT35=MAX(BO35:BV35),"safety",BU35=MAX(BO35:BV35),"waste",BV35=MAX(BO35:BV35),"water")</f>
        <v>#N/A</v>
      </c>
      <c r="BM35">
        <f t="shared" ref="BM35:BM66" si="60">IF(BN35=B35,1,0)</f>
        <v>0</v>
      </c>
      <c r="BN35" t="str" cm="1">
        <f t="array" ref="BN35">_xlfn.IFS(BO35=MAX(BO35:BR35),"road",BP35=MAX(BO35:BR35),"safety",BQ35=MAX(BO35:BR35),"waste",BR35=MAX(BO35:BR35),"water")</f>
        <v>waste</v>
      </c>
      <c r="BO35" s="1">
        <f t="shared" si="36"/>
        <v>2.3381231892321139</v>
      </c>
      <c r="BP35" s="1">
        <f t="shared" si="37"/>
        <v>1.6301230630624237</v>
      </c>
      <c r="BQ35" s="1">
        <f t="shared" si="38"/>
        <v>2.6773885862639997</v>
      </c>
      <c r="BR35" s="1">
        <f t="shared" si="39"/>
        <v>1.5255541412640676</v>
      </c>
      <c r="BS35" s="1">
        <f t="shared" si="40"/>
        <v>1.9367270950726285</v>
      </c>
      <c r="BT35" s="1">
        <f t="shared" si="41"/>
        <v>0.854666607497088</v>
      </c>
      <c r="BU35" s="1">
        <f t="shared" si="42"/>
        <v>1.0022254215878221</v>
      </c>
      <c r="BV35" s="1">
        <f t="shared" si="43"/>
        <v>0.75435571057104012</v>
      </c>
      <c r="BX35" s="1"/>
      <c r="BY35" s="1"/>
      <c r="BZ35" s="1"/>
      <c r="CA35" s="1"/>
    </row>
    <row r="36" spans="1:79" x14ac:dyDescent="0.25">
      <c r="A36" t="s">
        <v>51</v>
      </c>
      <c r="B36" s="6" t="s">
        <v>24</v>
      </c>
      <c r="C36" t="s">
        <v>3</v>
      </c>
      <c r="D36" t="s">
        <v>15</v>
      </c>
      <c r="E36" t="s">
        <v>3</v>
      </c>
      <c r="F36" t="s">
        <v>17</v>
      </c>
      <c r="G36" s="3">
        <v>0.31513621467993003</v>
      </c>
      <c r="H36" s="3">
        <v>0.191745151879542</v>
      </c>
      <c r="I36" s="3">
        <v>0.288838365820206</v>
      </c>
      <c r="J36" s="3">
        <v>0.20428026762031901</v>
      </c>
      <c r="K36" s="3">
        <v>0.29442853284892501</v>
      </c>
      <c r="L36" s="3">
        <v>0.182762588107025</v>
      </c>
      <c r="M36" s="3">
        <v>0.301727874677161</v>
      </c>
      <c r="N36" s="3">
        <v>0.22108100436688699</v>
      </c>
      <c r="O36" s="11">
        <f t="shared" si="8"/>
        <v>0.31513621467993003</v>
      </c>
      <c r="Q36">
        <f t="shared" si="50"/>
        <v>0</v>
      </c>
      <c r="R36" t="str" cm="1">
        <f t="array" ref="R36">_xlfn.IFS(S36=MAX(S36:V36),"road",T36=MAX(S36:V36),"safety",U36=MAX(S36:V36),"waste",V36=MAX(S36:V36),"water")</f>
        <v>road</v>
      </c>
      <c r="S36" s="1">
        <f>G36*G$85</f>
        <v>0.24685670149927852</v>
      </c>
      <c r="T36" s="1">
        <f t="shared" si="10"/>
        <v>0.13741735884700509</v>
      </c>
      <c r="U36" s="1">
        <f t="shared" si="11"/>
        <v>0.22144274712882459</v>
      </c>
      <c r="V36" s="1">
        <f t="shared" si="12"/>
        <v>0.14980552958823395</v>
      </c>
      <c r="W36" s="1"/>
      <c r="X36" s="1">
        <f t="shared" si="13"/>
        <v>0.26007853734988373</v>
      </c>
      <c r="Y36" s="1">
        <f t="shared" si="14"/>
        <v>0.13707194108026877</v>
      </c>
      <c r="Z36" s="1">
        <f t="shared" si="15"/>
        <v>0.20115191645144068</v>
      </c>
      <c r="AA36" s="1">
        <f t="shared" si="16"/>
        <v>0.15475670305682088</v>
      </c>
      <c r="AB36" s="8">
        <f t="shared" si="51"/>
        <v>0</v>
      </c>
      <c r="AC36" t="str" cm="1">
        <f t="array" ref="AC36">_xlfn.IFS(AD36=MAX(AD36:AG36),"road",AE36=MAX(AD36:AG36),"safety",AF36=MAX(AD36:AG36),"waste",AG36=MAX(AD36:AG36),"water")</f>
        <v>road</v>
      </c>
      <c r="AD36" s="1">
        <f t="shared" si="52"/>
        <v>0.26007853734988373</v>
      </c>
      <c r="AE36" s="1">
        <f t="shared" si="53"/>
        <v>0.13707194108026877</v>
      </c>
      <c r="AF36" s="1">
        <f t="shared" si="54"/>
        <v>0.20115191645144068</v>
      </c>
      <c r="AG36" s="1">
        <f t="shared" si="55"/>
        <v>0.15475670305682088</v>
      </c>
      <c r="AI36" s="8">
        <f t="shared" si="56"/>
        <v>0</v>
      </c>
      <c r="AJ36" t="str" cm="1">
        <f t="array" ref="AJ36">_xlfn.IFS(AK36=MAX(AK36:AN36),"road",AL36=MAX(AK36:AN36),"safety",AM36=MAX(AK36:AN36),"waste",AN36=MAX(AK36:AN36),"water")</f>
        <v>road</v>
      </c>
      <c r="AK36" s="2">
        <f t="shared" ref="AK36:AK62" si="61">(G36*G$85)*G$86</f>
        <v>0.22628530970767197</v>
      </c>
      <c r="AL36" s="2">
        <f t="shared" ref="AL36:AL62" si="62">(H36*H$85)*H$86</f>
        <v>0.11909504433407109</v>
      </c>
      <c r="AM36" s="2">
        <f t="shared" ref="AM36:AM62" si="63">(I36*I$85)*I$86</f>
        <v>0.18084491015520673</v>
      </c>
      <c r="AN36" s="2">
        <f t="shared" ref="AN36:AN62" si="64">(J36*J$85)*J$86</f>
        <v>0.1173476648441166</v>
      </c>
      <c r="AO36" s="8">
        <f t="shared" si="23"/>
        <v>0</v>
      </c>
      <c r="AP36" t="str" cm="1">
        <f t="array" ref="AP36">_xlfn.IFS(AQ36=MAX(AQ36:AT36),"road",AR36=MAX(AQ36:AT36),"safety",AS36=MAX(AQ36:AT36),"waste",AT36=MAX(AQ36:AT36),"water")</f>
        <v>road</v>
      </c>
      <c r="AQ36" s="2">
        <f t="shared" ref="AQ36:AQ62" si="65">(K36*K$85)*K$86</f>
        <v>0.24273996819322483</v>
      </c>
      <c r="AR36" s="2">
        <f t="shared" ref="AR36:AR62" si="66">(L36*L$85)*L$86</f>
        <v>0.1233647469722419</v>
      </c>
      <c r="AS36" s="2">
        <f t="shared" ref="AS36:AS62" si="67">(M36*M$85)*M$86</f>
        <v>0.16427406510200987</v>
      </c>
      <c r="AT36" s="2">
        <f t="shared" ref="AT36:AT62" si="68">(N36*N$85)*N$86</f>
        <v>0.11864680567689599</v>
      </c>
      <c r="AU36" s="2"/>
      <c r="AW36" s="10">
        <f t="shared" si="57"/>
        <v>0</v>
      </c>
      <c r="AX36" s="2">
        <f t="shared" si="58"/>
        <v>0.46902527790089676</v>
      </c>
      <c r="AY36" t="str" cm="1">
        <f t="array" ref="AY36">_xlfn.IFS(AZ36=MAX(AZ36:BC36),"road",BA36=MAX(AZ36:BC36),"safety",BB36=MAX(AZ36:BC36),"waste",BC36=MAX(AZ36:BC36),"water")</f>
        <v>road</v>
      </c>
      <c r="AZ36" s="2">
        <f t="shared" si="28"/>
        <v>0.46902527790089676</v>
      </c>
      <c r="BA36" s="2">
        <f t="shared" si="29"/>
        <v>0.24245979130631298</v>
      </c>
      <c r="BB36" s="2">
        <f t="shared" si="30"/>
        <v>0.34511897525721658</v>
      </c>
      <c r="BC36" s="2">
        <f t="shared" si="31"/>
        <v>0.23599447052101258</v>
      </c>
      <c r="BD36" s="2"/>
      <c r="BF36" s="2">
        <f t="shared" si="32"/>
        <v>0.60956474752885503</v>
      </c>
      <c r="BG36" s="2">
        <f t="shared" si="33"/>
        <v>0.374507739986567</v>
      </c>
      <c r="BH36" s="2">
        <f t="shared" si="34"/>
        <v>0.59056624049736706</v>
      </c>
      <c r="BI36" s="2">
        <f t="shared" si="35"/>
        <v>0.42536127198720597</v>
      </c>
      <c r="BK36" s="7">
        <f t="shared" si="59"/>
        <v>0</v>
      </c>
      <c r="BL36" t="str" cm="1">
        <f t="array" ref="BL36">_xlfn.IFS(BO36=MAX(BO36:BV36),"road",BR36=MAX(BO36:BV36),"water",BT36=MAX(BO36:BV36),"safety",BU36=MAX(BO36:BV36),"waste",BV36=MAX(BO36:BV36),"water")</f>
        <v>road</v>
      </c>
      <c r="BM36">
        <f t="shared" si="60"/>
        <v>0</v>
      </c>
      <c r="BN36" t="str" cm="1">
        <f t="array" ref="BN36">_xlfn.IFS(BO36=MAX(BO36:BR36),"road",BP36=MAX(BO36:BR36),"safety",BQ36=MAX(BO36:BR36),"waste",BR36=MAX(BO36:BR36),"water")</f>
        <v>road</v>
      </c>
      <c r="BO36" s="1">
        <f t="shared" si="36"/>
        <v>2.9089496739685847</v>
      </c>
      <c r="BP36" s="1">
        <f t="shared" si="37"/>
        <v>1.3534951897379435</v>
      </c>
      <c r="BQ36" s="1">
        <f t="shared" si="38"/>
        <v>2.4757574213160516</v>
      </c>
      <c r="BR36" s="1">
        <f t="shared" si="39"/>
        <v>1.5321020071523925</v>
      </c>
      <c r="BS36" s="1">
        <f t="shared" si="40"/>
        <v>2.5236731387050715</v>
      </c>
      <c r="BT36" s="1">
        <f t="shared" si="41"/>
        <v>0.73105035242810001</v>
      </c>
      <c r="BU36" s="1">
        <f t="shared" si="42"/>
        <v>0.905183624031483</v>
      </c>
      <c r="BV36" s="1">
        <f t="shared" si="43"/>
        <v>0.73693668122295664</v>
      </c>
      <c r="BX36" s="1"/>
      <c r="BY36" s="1"/>
      <c r="BZ36" s="1"/>
      <c r="CA36" s="1"/>
    </row>
    <row r="37" spans="1:79" x14ac:dyDescent="0.25">
      <c r="A37" t="s">
        <v>52</v>
      </c>
      <c r="B37" s="6" t="s">
        <v>24</v>
      </c>
      <c r="C37" t="s">
        <v>3</v>
      </c>
      <c r="D37" t="s">
        <v>15</v>
      </c>
      <c r="E37" t="s">
        <v>3</v>
      </c>
      <c r="F37" t="s">
        <v>3</v>
      </c>
      <c r="G37" s="3">
        <v>0.37467158909293102</v>
      </c>
      <c r="H37" s="3">
        <v>0.26965612365846497</v>
      </c>
      <c r="I37" s="3">
        <v>0.202101931933481</v>
      </c>
      <c r="J37" s="3">
        <v>0.153570355315121</v>
      </c>
      <c r="K37" s="3">
        <v>0.29878397055658601</v>
      </c>
      <c r="L37" s="3">
        <v>0.24869410420864699</v>
      </c>
      <c r="M37" s="3">
        <v>0.26116641071234298</v>
      </c>
      <c r="N37" s="3">
        <v>0.191355514522422</v>
      </c>
      <c r="O37" s="11">
        <f t="shared" si="8"/>
        <v>0.37467158909293102</v>
      </c>
      <c r="Q37">
        <f t="shared" si="50"/>
        <v>0</v>
      </c>
      <c r="R37" t="str" cm="1">
        <f t="array" ref="R37">_xlfn.IFS(S37=MAX(S37:V37),"road",T37=MAX(S37:V37),"safety",U37=MAX(S37:V37),"waste",V37=MAX(S37:V37),"water")</f>
        <v>road</v>
      </c>
      <c r="S37" s="1">
        <f t="shared" ref="S37:S62" si="69">G37*G$85</f>
        <v>0.29349274478946263</v>
      </c>
      <c r="T37" s="1">
        <f t="shared" ref="T37:T62" si="70">H37*H$85</f>
        <v>0.19325355528856658</v>
      </c>
      <c r="U37" s="1">
        <f t="shared" ref="U37:U62" si="71">I37*I$85</f>
        <v>0.15494481448233541</v>
      </c>
      <c r="V37" s="1">
        <f t="shared" ref="V37:V62" si="72">J37*J$85</f>
        <v>0.11261826056442208</v>
      </c>
      <c r="W37" s="1"/>
      <c r="X37" s="1">
        <f t="shared" ref="X37:X62" si="73">K37*K$85</f>
        <v>0.26392584065831765</v>
      </c>
      <c r="Y37" s="1">
        <f t="shared" ref="Y37:Y62" si="74">L37*L$85</f>
        <v>0.18652057815648523</v>
      </c>
      <c r="Z37" s="1">
        <f t="shared" ref="Z37:Z62" si="75">M37*M$85</f>
        <v>0.17411094047489534</v>
      </c>
      <c r="AA37" s="1">
        <f t="shared" ref="AA37:AA62" si="76">N37*N$85</f>
        <v>0.13394886016569538</v>
      </c>
      <c r="AB37" s="8">
        <f t="shared" si="51"/>
        <v>0</v>
      </c>
      <c r="AC37" t="str" cm="1">
        <f t="array" ref="AC37">_xlfn.IFS(AD37=MAX(AD37:AG37),"road",AE37=MAX(AD37:AG37),"safety",AF37=MAX(AD37:AG37),"waste",AG37=MAX(AD37:AG37),"water")</f>
        <v>road</v>
      </c>
      <c r="AD37" s="1">
        <f t="shared" si="52"/>
        <v>0.26392584065831765</v>
      </c>
      <c r="AE37" s="1">
        <f t="shared" si="53"/>
        <v>0.18652057815648523</v>
      </c>
      <c r="AF37" s="1">
        <f t="shared" si="54"/>
        <v>0.17411094047489534</v>
      </c>
      <c r="AG37" s="1">
        <f t="shared" si="55"/>
        <v>0.13394886016569538</v>
      </c>
      <c r="AI37" s="8">
        <f t="shared" si="56"/>
        <v>0</v>
      </c>
      <c r="AJ37" t="str" cm="1">
        <f t="array" ref="AJ37">_xlfn.IFS(AK37=MAX(AK37:AN37),"road",AL37=MAX(AK37:AN37),"safety",AM37=MAX(AK37:AN37),"waste",AN37=MAX(AK37:AN37),"water")</f>
        <v>road</v>
      </c>
      <c r="AK37" s="2">
        <f t="shared" si="61"/>
        <v>0.26903501605700741</v>
      </c>
      <c r="AL37" s="2">
        <f t="shared" si="62"/>
        <v>0.16748641458342436</v>
      </c>
      <c r="AM37" s="2">
        <f t="shared" si="63"/>
        <v>0.12653826516057393</v>
      </c>
      <c r="AN37" s="2">
        <f t="shared" si="64"/>
        <v>8.8217637442130625E-2</v>
      </c>
      <c r="AO37" s="8">
        <f t="shared" si="23"/>
        <v>0</v>
      </c>
      <c r="AP37" t="str" cm="1">
        <f t="array" ref="AP37">_xlfn.IFS(AQ37=MAX(AQ37:AT37),"road",AR37=MAX(AQ37:AT37),"safety",AS37=MAX(AQ37:AT37),"waste",AT37=MAX(AQ37:AT37),"water")</f>
        <v>road</v>
      </c>
      <c r="AQ37" s="2">
        <f t="shared" si="65"/>
        <v>0.24633078461442981</v>
      </c>
      <c r="AR37" s="2">
        <f t="shared" si="66"/>
        <v>0.16786852034083671</v>
      </c>
      <c r="AS37" s="2">
        <f t="shared" si="67"/>
        <v>0.14219060138783118</v>
      </c>
      <c r="AT37" s="2">
        <f t="shared" si="68"/>
        <v>0.10269412612703312</v>
      </c>
      <c r="AU37" s="2"/>
      <c r="AW37" s="10">
        <f t="shared" si="57"/>
        <v>0</v>
      </c>
      <c r="AX37" s="2">
        <f t="shared" si="58"/>
        <v>0.51536580067143722</v>
      </c>
      <c r="AY37" t="str" cm="1">
        <f t="array" ref="AY37">_xlfn.IFS(AZ37=MAX(AZ37:BC37),"road",BA37=MAX(AZ37:BC37),"safety",BB37=MAX(AZ37:BC37),"waste",BC37=MAX(AZ37:BC37),"water")</f>
        <v>road</v>
      </c>
      <c r="AZ37" s="2">
        <f t="shared" si="28"/>
        <v>0.51536580067143722</v>
      </c>
      <c r="BA37" s="2">
        <f t="shared" si="29"/>
        <v>0.33535493492426105</v>
      </c>
      <c r="BB37" s="2">
        <f t="shared" si="30"/>
        <v>0.26872886654840511</v>
      </c>
      <c r="BC37" s="2">
        <f t="shared" si="31"/>
        <v>0.19091176356916373</v>
      </c>
      <c r="BD37" s="2"/>
      <c r="BF37" s="2">
        <f t="shared" si="32"/>
        <v>0.67345555964951709</v>
      </c>
      <c r="BG37" s="2">
        <f t="shared" si="33"/>
        <v>0.51835022786711193</v>
      </c>
      <c r="BH37" s="2">
        <f t="shared" si="34"/>
        <v>0.46326834264582395</v>
      </c>
      <c r="BI37" s="2">
        <f t="shared" si="35"/>
        <v>0.34492586983754303</v>
      </c>
      <c r="BK37" s="7">
        <f t="shared" si="59"/>
        <v>0</v>
      </c>
      <c r="BL37" t="str" cm="1">
        <f t="array" ref="BL37">_xlfn.IFS(BO37=MAX(BO37:BV37),"road",BR37=MAX(BO37:BV37),"water",BT37=MAX(BO37:BV37),"safety",BU37=MAX(BO37:BV37),"waste",BV37=MAX(BO37:BV37),"water")</f>
        <v>road</v>
      </c>
      <c r="BM37">
        <f t="shared" si="60"/>
        <v>0</v>
      </c>
      <c r="BN37" t="str" cm="1">
        <f t="array" ref="BN37">_xlfn.IFS(BO37=MAX(BO37:BR37),"road",BP37=MAX(BO37:BR37),"safety",BQ37=MAX(BO37:BR37),"waste",BR37=MAX(BO37:BR37),"water")</f>
        <v>road</v>
      </c>
      <c r="BO37" s="1">
        <f t="shared" si="36"/>
        <v>3.4585069762424401</v>
      </c>
      <c r="BP37" s="1">
        <f t="shared" si="37"/>
        <v>1.9034549905303411</v>
      </c>
      <c r="BQ37" s="1">
        <f t="shared" si="38"/>
        <v>1.7323022737155513</v>
      </c>
      <c r="BR37" s="1">
        <f t="shared" si="39"/>
        <v>1.1517776648634075</v>
      </c>
      <c r="BS37" s="1">
        <f t="shared" si="40"/>
        <v>2.5610054619135942</v>
      </c>
      <c r="BT37" s="1">
        <f t="shared" si="41"/>
        <v>0.99477641683458795</v>
      </c>
      <c r="BU37" s="1">
        <f t="shared" si="42"/>
        <v>0.78349923213702899</v>
      </c>
      <c r="BV37" s="1">
        <f t="shared" si="43"/>
        <v>0.63785171507474003</v>
      </c>
      <c r="BX37" s="1"/>
      <c r="BY37" s="1"/>
      <c r="BZ37" s="1"/>
      <c r="CA37" s="1"/>
    </row>
    <row r="38" spans="1:79" x14ac:dyDescent="0.25">
      <c r="A38" t="s">
        <v>53</v>
      </c>
      <c r="B38" s="6" t="s">
        <v>24</v>
      </c>
      <c r="C38" t="s">
        <v>3</v>
      </c>
      <c r="D38" t="s">
        <v>15</v>
      </c>
      <c r="E38" t="s">
        <v>3</v>
      </c>
      <c r="F38" t="s">
        <v>17</v>
      </c>
      <c r="G38" s="3">
        <v>0.26625665743431698</v>
      </c>
      <c r="H38" s="3">
        <v>0.26391977729204302</v>
      </c>
      <c r="I38" s="3">
        <v>0.26222217866233899</v>
      </c>
      <c r="J38" s="3">
        <v>0.20760138661129901</v>
      </c>
      <c r="K38" s="3">
        <v>0.236997764592315</v>
      </c>
      <c r="L38" s="3">
        <v>0.23333283181628001</v>
      </c>
      <c r="M38" s="3">
        <v>0.26584645274907998</v>
      </c>
      <c r="N38" s="3">
        <v>0.26382295084232299</v>
      </c>
      <c r="O38" s="11">
        <f t="shared" si="8"/>
        <v>0.26625665743431698</v>
      </c>
      <c r="Q38">
        <f t="shared" si="50"/>
        <v>0</v>
      </c>
      <c r="R38" t="str" cm="1">
        <f t="array" ref="R38">_xlfn.IFS(S38=MAX(S38:V38),"road",T38=MAX(S38:V38),"safety",U38=MAX(S38:V38),"waste",V38=MAX(S38:V38),"water")</f>
        <v>road</v>
      </c>
      <c r="S38" s="1">
        <f t="shared" si="69"/>
        <v>0.20856771499021495</v>
      </c>
      <c r="T38" s="1">
        <f t="shared" si="70"/>
        <v>0.1891425070592975</v>
      </c>
      <c r="U38" s="1">
        <f t="shared" si="71"/>
        <v>0.20103700364112653</v>
      </c>
      <c r="V38" s="1">
        <f t="shared" si="72"/>
        <v>0.15224101684828595</v>
      </c>
      <c r="W38" s="1"/>
      <c r="X38" s="1">
        <f t="shared" si="73"/>
        <v>0.20934802538987823</v>
      </c>
      <c r="Y38" s="1">
        <f t="shared" si="74"/>
        <v>0.17499962386221002</v>
      </c>
      <c r="Z38" s="1">
        <f t="shared" si="75"/>
        <v>0.17723096849938666</v>
      </c>
      <c r="AA38" s="1">
        <f t="shared" si="76"/>
        <v>0.18467606558962607</v>
      </c>
      <c r="AB38" s="8">
        <f t="shared" si="51"/>
        <v>0</v>
      </c>
      <c r="AC38" t="str" cm="1">
        <f t="array" ref="AC38">_xlfn.IFS(AD38=MAX(AD38:AG38),"road",AE38=MAX(AD38:AG38),"safety",AF38=MAX(AD38:AG38),"waste",AG38=MAX(AD38:AG38),"water")</f>
        <v>road</v>
      </c>
      <c r="AD38" s="1">
        <f t="shared" si="52"/>
        <v>0.20934802538987823</v>
      </c>
      <c r="AE38" s="1">
        <f t="shared" si="53"/>
        <v>0.17499962386221002</v>
      </c>
      <c r="AF38" s="1">
        <f t="shared" si="54"/>
        <v>0.17723096849938666</v>
      </c>
      <c r="AG38" s="1">
        <f t="shared" si="55"/>
        <v>0.18467606558962607</v>
      </c>
      <c r="AI38" s="8">
        <f t="shared" si="56"/>
        <v>0</v>
      </c>
      <c r="AJ38" t="str" cm="1">
        <f t="array" ref="AJ38">_xlfn.IFS(AK38=MAX(AK38:AN38),"road",AL38=MAX(AK38:AN38),"safety",AM38=MAX(AK38:AN38),"waste",AN38=MAX(AK38:AN38),"water")</f>
        <v>road</v>
      </c>
      <c r="AK38" s="2">
        <f t="shared" si="61"/>
        <v>0.1911870720743637</v>
      </c>
      <c r="AL38" s="2">
        <f t="shared" si="62"/>
        <v>0.16392350611805784</v>
      </c>
      <c r="AM38" s="2">
        <f t="shared" si="63"/>
        <v>0.16418021964025334</v>
      </c>
      <c r="AN38" s="2">
        <f t="shared" si="64"/>
        <v>0.11925546319782399</v>
      </c>
      <c r="AO38" s="8">
        <f t="shared" si="23"/>
        <v>0</v>
      </c>
      <c r="AP38" t="str" cm="1">
        <f t="array" ref="AP38">_xlfn.IFS(AQ38=MAX(AQ38:AT38),"road",AR38=MAX(AQ38:AT38),"safety",AS38=MAX(AQ38:AT38),"waste",AT38=MAX(AQ38:AT38),"water")</f>
        <v>road</v>
      </c>
      <c r="AQ38" s="2">
        <f t="shared" si="65"/>
        <v>0.19539149036388637</v>
      </c>
      <c r="AR38" s="2">
        <f t="shared" si="66"/>
        <v>0.15749966147598901</v>
      </c>
      <c r="AS38" s="2">
        <f t="shared" si="67"/>
        <v>0.1447386242744991</v>
      </c>
      <c r="AT38" s="2">
        <f t="shared" si="68"/>
        <v>0.1415849836187133</v>
      </c>
      <c r="AU38" s="2"/>
      <c r="AW38" s="10">
        <f t="shared" si="57"/>
        <v>0</v>
      </c>
      <c r="AX38" s="2">
        <f t="shared" si="58"/>
        <v>0.38657856243825006</v>
      </c>
      <c r="AY38" t="str" cm="1">
        <f t="array" ref="AY38">_xlfn.IFS(AZ38=MAX(AZ38:BC38),"road",BA38=MAX(AZ38:BC38),"safety",BB38=MAX(AZ38:BC38),"waste",BC38=MAX(AZ38:BC38),"water")</f>
        <v>road</v>
      </c>
      <c r="AZ38" s="2">
        <f t="shared" si="28"/>
        <v>0.38657856243825006</v>
      </c>
      <c r="BA38" s="2">
        <f t="shared" si="29"/>
        <v>0.32142316759404688</v>
      </c>
      <c r="BB38" s="2">
        <f t="shared" si="30"/>
        <v>0.30891884391475244</v>
      </c>
      <c r="BC38" s="2">
        <f t="shared" si="31"/>
        <v>0.26084044681653729</v>
      </c>
      <c r="BD38" s="2"/>
      <c r="BF38" s="2">
        <f t="shared" si="32"/>
        <v>0.50325442202663195</v>
      </c>
      <c r="BG38" s="2">
        <f t="shared" si="33"/>
        <v>0.49725260910832303</v>
      </c>
      <c r="BH38" s="2">
        <f t="shared" si="34"/>
        <v>0.52806863141141891</v>
      </c>
      <c r="BI38" s="2">
        <f t="shared" si="35"/>
        <v>0.471424337453622</v>
      </c>
      <c r="BK38" s="7">
        <f t="shared" si="59"/>
        <v>0</v>
      </c>
      <c r="BL38" t="str" cm="1">
        <f t="array" ref="BL38">_xlfn.IFS(BO38=MAX(BO38:BV38),"road",BR38=MAX(BO38:BV38),"water",BT38=MAX(BO38:BV38),"safety",BU38=MAX(BO38:BV38),"waste",BV38=MAX(BO38:BV38),"water")</f>
        <v>road</v>
      </c>
      <c r="BM38">
        <f t="shared" si="60"/>
        <v>0</v>
      </c>
      <c r="BN38" t="str" cm="1">
        <f t="array" ref="BN38">_xlfn.IFS(BO38=MAX(BO38:BR38),"road",BP38=MAX(BO38:BR38),"safety",BQ38=MAX(BO38:BR38),"waste",BR38=MAX(BO38:BR38),"water")</f>
        <v>road</v>
      </c>
      <c r="BO38" s="1">
        <f t="shared" si="36"/>
        <v>2.4577537609321567</v>
      </c>
      <c r="BP38" s="1">
        <f t="shared" si="37"/>
        <v>1.8629631338261861</v>
      </c>
      <c r="BQ38" s="1">
        <f t="shared" si="38"/>
        <v>2.2476186742486197</v>
      </c>
      <c r="BR38" s="1">
        <f t="shared" si="39"/>
        <v>1.5570103995847426</v>
      </c>
      <c r="BS38" s="1">
        <f t="shared" si="40"/>
        <v>2.0314094107912712</v>
      </c>
      <c r="BT38" s="1">
        <f t="shared" si="41"/>
        <v>0.93333132726512003</v>
      </c>
      <c r="BU38" s="1">
        <f t="shared" si="42"/>
        <v>0.79753935824723998</v>
      </c>
      <c r="BV38" s="1">
        <f t="shared" si="43"/>
        <v>0.87940983614107671</v>
      </c>
      <c r="BX38" s="1"/>
      <c r="BY38" s="1"/>
      <c r="BZ38" s="1"/>
      <c r="CA38" s="1"/>
    </row>
    <row r="39" spans="1:79" x14ac:dyDescent="0.25">
      <c r="A39" t="s">
        <v>54</v>
      </c>
      <c r="B39" s="6" t="s">
        <v>24</v>
      </c>
      <c r="C39" t="s">
        <v>24</v>
      </c>
      <c r="D39" t="s">
        <v>15</v>
      </c>
      <c r="E39" t="s">
        <v>24</v>
      </c>
      <c r="F39" t="s">
        <v>24</v>
      </c>
      <c r="G39" s="3">
        <v>0.30121681707507098</v>
      </c>
      <c r="H39" s="3">
        <v>0.30293430085148199</v>
      </c>
      <c r="I39" s="3">
        <v>0.20070432209588601</v>
      </c>
      <c r="J39" s="3">
        <v>0.195144559977558</v>
      </c>
      <c r="K39" s="3">
        <v>0.26786465922503799</v>
      </c>
      <c r="L39" s="3">
        <v>0.301949699477295</v>
      </c>
      <c r="M39" s="3">
        <v>0.204707253423975</v>
      </c>
      <c r="N39" s="3">
        <v>0.22547838787369001</v>
      </c>
      <c r="O39" s="11">
        <f t="shared" si="8"/>
        <v>0.30293430085148199</v>
      </c>
      <c r="Q39">
        <f t="shared" si="50"/>
        <v>0</v>
      </c>
      <c r="R39" t="str" cm="1">
        <f t="array" ref="R39">_xlfn.IFS(S39=MAX(S39:V39),"road",T39=MAX(S39:V39),"safety",U39=MAX(S39:V39),"waste",V39=MAX(S39:V39),"water")</f>
        <v>road</v>
      </c>
      <c r="S39" s="1">
        <f t="shared" si="69"/>
        <v>0.23595317337547225</v>
      </c>
      <c r="T39" s="1">
        <f t="shared" si="70"/>
        <v>0.21710291561022876</v>
      </c>
      <c r="U39" s="1">
        <f t="shared" si="71"/>
        <v>0.15387331360684592</v>
      </c>
      <c r="V39" s="1">
        <f t="shared" si="72"/>
        <v>0.14310601065020923</v>
      </c>
      <c r="W39" s="1"/>
      <c r="X39" s="1">
        <f t="shared" si="73"/>
        <v>0.23661378231545022</v>
      </c>
      <c r="Y39" s="1">
        <f t="shared" si="74"/>
        <v>0.22646227460797125</v>
      </c>
      <c r="Z39" s="1">
        <f t="shared" si="75"/>
        <v>0.13647150228265001</v>
      </c>
      <c r="AA39" s="1">
        <f t="shared" si="76"/>
        <v>0.15783487151158299</v>
      </c>
      <c r="AB39" s="8">
        <f t="shared" si="51"/>
        <v>0</v>
      </c>
      <c r="AC39" t="str" cm="1">
        <f t="array" ref="AC39">_xlfn.IFS(AD39=MAX(AD39:AG39),"road",AE39=MAX(AD39:AG39),"safety",AF39=MAX(AD39:AG39),"waste",AG39=MAX(AD39:AG39),"water")</f>
        <v>road</v>
      </c>
      <c r="AD39" s="1">
        <f t="shared" si="52"/>
        <v>0.23661378231545022</v>
      </c>
      <c r="AE39" s="1">
        <f t="shared" si="53"/>
        <v>0.22646227460797125</v>
      </c>
      <c r="AF39" s="1">
        <f t="shared" si="54"/>
        <v>0.13647150228265001</v>
      </c>
      <c r="AG39" s="1">
        <f t="shared" si="55"/>
        <v>0.15783487151158299</v>
      </c>
      <c r="AI39" s="8">
        <f t="shared" si="56"/>
        <v>0</v>
      </c>
      <c r="AJ39" t="str" cm="1">
        <f t="array" ref="AJ39">_xlfn.IFS(AK39=MAX(AK39:AN39),"road",AL39=MAX(AK39:AN39),"safety",AM39=MAX(AK39:AN39),"waste",AN39=MAX(AK39:AN39),"water")</f>
        <v>road</v>
      </c>
      <c r="AK39" s="2">
        <f t="shared" si="61"/>
        <v>0.21629040892751622</v>
      </c>
      <c r="AL39" s="2">
        <f t="shared" si="62"/>
        <v>0.1881558601955316</v>
      </c>
      <c r="AM39" s="2">
        <f t="shared" si="63"/>
        <v>0.12566320611225751</v>
      </c>
      <c r="AN39" s="2">
        <f t="shared" si="64"/>
        <v>0.11209970834266389</v>
      </c>
      <c r="AO39" s="8">
        <f t="shared" si="23"/>
        <v>0</v>
      </c>
      <c r="AP39" t="str" cm="1">
        <f t="array" ref="AP39">_xlfn.IFS(AQ39=MAX(AQ39:AT39),"road",AR39=MAX(AQ39:AT39),"safety",AS39=MAX(AQ39:AT39),"waste",AT39=MAX(AQ39:AT39),"water")</f>
        <v>road</v>
      </c>
      <c r="AQ39" s="2">
        <f t="shared" si="65"/>
        <v>0.22083953016108687</v>
      </c>
      <c r="AR39" s="2">
        <f t="shared" si="66"/>
        <v>0.20381604714717413</v>
      </c>
      <c r="AS39" s="2">
        <f t="shared" si="67"/>
        <v>0.11145172686416417</v>
      </c>
      <c r="AT39" s="2">
        <f t="shared" si="68"/>
        <v>0.12100673482554694</v>
      </c>
      <c r="AU39" s="2"/>
      <c r="AW39" s="10">
        <f t="shared" si="57"/>
        <v>0</v>
      </c>
      <c r="AX39" s="2">
        <f t="shared" si="58"/>
        <v>0.43712993908860309</v>
      </c>
      <c r="AY39" t="str" cm="1">
        <f t="array" ref="AY39">_xlfn.IFS(AZ39=MAX(AZ39:BC39),"road",BA39=MAX(AZ39:BC39),"safety",BB39=MAX(AZ39:BC39),"waste",BC39=MAX(AZ39:BC39),"water")</f>
        <v>road</v>
      </c>
      <c r="AZ39" s="2">
        <f t="shared" si="28"/>
        <v>0.43712993908860309</v>
      </c>
      <c r="BA39" s="2">
        <f t="shared" si="29"/>
        <v>0.39197190734270571</v>
      </c>
      <c r="BB39" s="2">
        <f t="shared" si="30"/>
        <v>0.23711493297642167</v>
      </c>
      <c r="BC39" s="2">
        <f t="shared" si="31"/>
        <v>0.23310644316821083</v>
      </c>
      <c r="BD39" s="2"/>
      <c r="BF39" s="2">
        <f t="shared" si="32"/>
        <v>0.56908147630010897</v>
      </c>
      <c r="BG39" s="2">
        <f t="shared" si="33"/>
        <v>0.60488400032877698</v>
      </c>
      <c r="BH39" s="2">
        <f t="shared" si="34"/>
        <v>0.40541157551986101</v>
      </c>
      <c r="BI39" s="2">
        <f t="shared" si="35"/>
        <v>0.42062294785124799</v>
      </c>
      <c r="BK39" s="7">
        <f t="shared" si="59"/>
        <v>0</v>
      </c>
      <c r="BL39" t="str" cm="1">
        <f t="array" ref="BL39">_xlfn.IFS(BO39=MAX(BO39:BV39),"road",BR39=MAX(BO39:BV39),"water",BT39=MAX(BO39:BV39),"safety",BU39=MAX(BO39:BV39),"waste",BV39=MAX(BO39:BV39),"water")</f>
        <v>road</v>
      </c>
      <c r="BM39">
        <f t="shared" si="60"/>
        <v>0</v>
      </c>
      <c r="BN39" t="str" cm="1">
        <f t="array" ref="BN39">_xlfn.IFS(BO39=MAX(BO39:BR39),"road",BP39=MAX(BO39:BR39),"safety",BQ39=MAX(BO39:BR39),"waste",BR39=MAX(BO39:BR39),"water")</f>
        <v>road</v>
      </c>
      <c r="BO39" s="1">
        <f t="shared" si="36"/>
        <v>2.7804629268468091</v>
      </c>
      <c r="BP39" s="1">
        <f t="shared" si="37"/>
        <v>2.1383597707163435</v>
      </c>
      <c r="BQ39" s="1">
        <f t="shared" si="38"/>
        <v>1.7203227608218801</v>
      </c>
      <c r="BR39" s="1">
        <f t="shared" si="39"/>
        <v>1.463584199831685</v>
      </c>
      <c r="BS39" s="1">
        <f t="shared" si="40"/>
        <v>2.2959827933574686</v>
      </c>
      <c r="BT39" s="1">
        <f t="shared" si="41"/>
        <v>1.20779879790918</v>
      </c>
      <c r="BU39" s="1">
        <f t="shared" si="42"/>
        <v>0.614121760271925</v>
      </c>
      <c r="BV39" s="1">
        <f t="shared" si="43"/>
        <v>0.75159462624563345</v>
      </c>
      <c r="BX39" s="1"/>
      <c r="BY39" s="1"/>
      <c r="BZ39" s="1"/>
      <c r="CA39" s="1"/>
    </row>
    <row r="40" spans="1:79" x14ac:dyDescent="0.25">
      <c r="A40" t="s">
        <v>55</v>
      </c>
      <c r="B40" s="6" t="s">
        <v>24</v>
      </c>
      <c r="C40" t="s">
        <v>24</v>
      </c>
      <c r="D40" t="s">
        <v>15</v>
      </c>
      <c r="E40" t="s">
        <v>24</v>
      </c>
      <c r="F40" t="s">
        <v>24</v>
      </c>
      <c r="G40" s="3">
        <v>0.22952622879053899</v>
      </c>
      <c r="H40" s="3">
        <v>0.36658491010413202</v>
      </c>
      <c r="I40" s="3">
        <v>0.237866283769367</v>
      </c>
      <c r="J40" s="3">
        <v>0.16602257733595999</v>
      </c>
      <c r="K40" s="3">
        <v>0.207061968489159</v>
      </c>
      <c r="L40" s="3">
        <v>0.35605617662342198</v>
      </c>
      <c r="M40" s="3">
        <v>0.25379355511230101</v>
      </c>
      <c r="N40" s="3">
        <v>0.18308829977511601</v>
      </c>
      <c r="O40" s="11">
        <f t="shared" si="8"/>
        <v>0.36658491010413202</v>
      </c>
      <c r="Q40">
        <f t="shared" si="50"/>
        <v>1</v>
      </c>
      <c r="R40" t="str" cm="1">
        <f t="array" ref="R40">_xlfn.IFS(S40=MAX(S40:V40),"road",T40=MAX(S40:V40),"safety",U40=MAX(S40:V40),"waste",V40=MAX(S40:V40),"water")</f>
        <v>safety</v>
      </c>
      <c r="S40" s="1">
        <f t="shared" si="69"/>
        <v>0.1797955458859222</v>
      </c>
      <c r="T40" s="1">
        <f t="shared" si="70"/>
        <v>0.26271918557462798</v>
      </c>
      <c r="U40" s="1">
        <f t="shared" si="71"/>
        <v>0.18236415088984803</v>
      </c>
      <c r="V40" s="1">
        <f t="shared" si="72"/>
        <v>0.12174989004637067</v>
      </c>
      <c r="W40" s="1"/>
      <c r="X40" s="1">
        <f t="shared" si="73"/>
        <v>0.18290473883209044</v>
      </c>
      <c r="Y40" s="1">
        <f t="shared" si="74"/>
        <v>0.26704213246756647</v>
      </c>
      <c r="Z40" s="1">
        <f t="shared" si="75"/>
        <v>0.1691957034082007</v>
      </c>
      <c r="AA40" s="1">
        <f t="shared" si="76"/>
        <v>0.12816180984258119</v>
      </c>
      <c r="AB40" s="8">
        <f t="shared" si="51"/>
        <v>1</v>
      </c>
      <c r="AC40" t="str" cm="1">
        <f t="array" ref="AC40">_xlfn.IFS(AD40=MAX(AD40:AG40),"road",AE40=MAX(AD40:AG40),"safety",AF40=MAX(AD40:AG40),"waste",AG40=MAX(AD40:AG40),"water")</f>
        <v>safety</v>
      </c>
      <c r="AD40" s="1">
        <f t="shared" si="52"/>
        <v>0.18290473883209044</v>
      </c>
      <c r="AE40" s="1">
        <f t="shared" si="53"/>
        <v>0.26704213246756647</v>
      </c>
      <c r="AF40" s="1">
        <f t="shared" si="54"/>
        <v>0.1691957034082007</v>
      </c>
      <c r="AG40" s="1">
        <f t="shared" si="55"/>
        <v>0.12816180984258119</v>
      </c>
      <c r="AI40" s="8">
        <f t="shared" si="56"/>
        <v>1</v>
      </c>
      <c r="AJ40" t="str" cm="1">
        <f t="array" ref="AJ40">_xlfn.IFS(AK40=MAX(AK40:AN40),"road",AL40=MAX(AK40:AN40),"safety",AM40=MAX(AK40:AN40),"waste",AN40=MAX(AK40:AN40),"water")</f>
        <v>safety</v>
      </c>
      <c r="AK40" s="2">
        <f t="shared" si="61"/>
        <v>0.16481258372876201</v>
      </c>
      <c r="AL40" s="2">
        <f t="shared" si="62"/>
        <v>0.22768996083134427</v>
      </c>
      <c r="AM40" s="2">
        <f t="shared" si="63"/>
        <v>0.14893072322670922</v>
      </c>
      <c r="AN40" s="2">
        <f t="shared" si="64"/>
        <v>9.5370747202990352E-2</v>
      </c>
      <c r="AO40" s="8">
        <f t="shared" si="23"/>
        <v>1</v>
      </c>
      <c r="AP40" t="str" cm="1">
        <f t="array" ref="AP40">_xlfn.IFS(AQ40=MAX(AQ40:AT40),"road",AR40=MAX(AQ40:AT40),"safety",AS40=MAX(AQ40:AT40),"waste",AT40=MAX(AQ40:AT40),"water")</f>
        <v>safety</v>
      </c>
      <c r="AQ40" s="2">
        <f t="shared" si="65"/>
        <v>0.17071108957661774</v>
      </c>
      <c r="AR40" s="2">
        <f t="shared" si="66"/>
        <v>0.24033791922080983</v>
      </c>
      <c r="AS40" s="2">
        <f t="shared" si="67"/>
        <v>0.13817649111669725</v>
      </c>
      <c r="AT40" s="2">
        <f t="shared" si="68"/>
        <v>9.8257387545978903E-2</v>
      </c>
      <c r="AU40" s="2"/>
      <c r="AW40" s="10">
        <f t="shared" si="57"/>
        <v>1</v>
      </c>
      <c r="AX40" s="2">
        <f t="shared" si="58"/>
        <v>0.46802788005215412</v>
      </c>
      <c r="AY40" t="str" cm="1">
        <f t="array" ref="AY40">_xlfn.IFS(AZ40=MAX(AZ40:BC40),"road",BA40=MAX(AZ40:BC40),"safety",BB40=MAX(AZ40:BC40),"waste",BC40=MAX(AZ40:BC40),"water")</f>
        <v>safety</v>
      </c>
      <c r="AZ40" s="2">
        <f t="shared" si="28"/>
        <v>0.33552367330537974</v>
      </c>
      <c r="BA40" s="2">
        <f t="shared" si="29"/>
        <v>0.46802788005215412</v>
      </c>
      <c r="BB40" s="2">
        <f t="shared" si="30"/>
        <v>0.28710721434340647</v>
      </c>
      <c r="BC40" s="2">
        <f t="shared" si="31"/>
        <v>0.19362813474896926</v>
      </c>
      <c r="BD40" s="2"/>
      <c r="BF40" s="2">
        <f t="shared" si="32"/>
        <v>0.436588197279698</v>
      </c>
      <c r="BG40" s="2">
        <f t="shared" si="33"/>
        <v>0.72264108672755401</v>
      </c>
      <c r="BH40" s="2">
        <f t="shared" si="34"/>
        <v>0.49165983888166798</v>
      </c>
      <c r="BI40" s="2">
        <f t="shared" si="35"/>
        <v>0.34911087711107602</v>
      </c>
      <c r="BK40" s="7" t="e">
        <f t="shared" si="59"/>
        <v>#N/A</v>
      </c>
      <c r="BL40" t="e" cm="1">
        <f t="array" ref="BL40">_xlfn.IFS(BO40=MAX(BO40:BV40),"road",BR40=MAX(BO40:BV40),"water",BT40=MAX(BO40:BV40),"safety",BU40=MAX(BO40:BV40),"waste",BV40=MAX(BO40:BV40),"water")</f>
        <v>#N/A</v>
      </c>
      <c r="BM40">
        <f t="shared" si="60"/>
        <v>1</v>
      </c>
      <c r="BN40" t="str" cm="1">
        <f t="array" ref="BN40">_xlfn.IFS(BO40=MAX(BO40:BR40),"road",BP40=MAX(BO40:BR40),"safety",BQ40=MAX(BO40:BR40),"waste",BR40=MAX(BO40:BR40),"water")</f>
        <v>safety</v>
      </c>
      <c r="BO40" s="1">
        <f t="shared" si="36"/>
        <v>2.118703650374206</v>
      </c>
      <c r="BP40" s="1">
        <f t="shared" si="37"/>
        <v>2.5876581889703436</v>
      </c>
      <c r="BQ40" s="1">
        <f t="shared" si="38"/>
        <v>2.0388538608802884</v>
      </c>
      <c r="BR40" s="1">
        <f t="shared" si="39"/>
        <v>1.2451693300197</v>
      </c>
      <c r="BS40" s="1">
        <f t="shared" si="40"/>
        <v>1.77481687276422</v>
      </c>
      <c r="BT40" s="1">
        <f t="shared" si="41"/>
        <v>1.4242247064936879</v>
      </c>
      <c r="BU40" s="1">
        <f t="shared" si="42"/>
        <v>0.76138066533690307</v>
      </c>
      <c r="BV40" s="1">
        <f t="shared" si="43"/>
        <v>0.61029433258372001</v>
      </c>
      <c r="BX40" s="1"/>
      <c r="BY40" s="1"/>
      <c r="BZ40" s="1"/>
      <c r="CA40" s="1"/>
    </row>
    <row r="41" spans="1:79" x14ac:dyDescent="0.25">
      <c r="A41" t="s">
        <v>56</v>
      </c>
      <c r="B41" s="6" t="s">
        <v>24</v>
      </c>
      <c r="C41" t="s">
        <v>17</v>
      </c>
      <c r="D41" t="s">
        <v>18</v>
      </c>
      <c r="E41" t="s">
        <v>24</v>
      </c>
      <c r="F41" t="s">
        <v>17</v>
      </c>
      <c r="G41" s="3">
        <v>0.22687234835503201</v>
      </c>
      <c r="H41" s="3">
        <v>0.29504889381838301</v>
      </c>
      <c r="I41" s="3">
        <v>0.29266190198799102</v>
      </c>
      <c r="J41" s="3">
        <v>0.18541685583859199</v>
      </c>
      <c r="K41" s="3">
        <v>0.206551969722234</v>
      </c>
      <c r="L41" s="3">
        <v>0.27213988690782498</v>
      </c>
      <c r="M41" s="3">
        <v>0.31419603739081498</v>
      </c>
      <c r="N41" s="3">
        <v>0.20711210597912399</v>
      </c>
      <c r="O41" s="11">
        <f t="shared" si="8"/>
        <v>0.29504889381838301</v>
      </c>
      <c r="Q41">
        <f t="shared" si="50"/>
        <v>0</v>
      </c>
      <c r="R41" t="str" cm="1">
        <f t="array" ref="R41">_xlfn.IFS(S41=MAX(S41:V41),"road",T41=MAX(S41:V41),"safety",U41=MAX(S41:V41),"waste",V41=MAX(S41:V41),"water")</f>
        <v>waste</v>
      </c>
      <c r="S41" s="1">
        <f t="shared" si="69"/>
        <v>0.17771667287810841</v>
      </c>
      <c r="T41" s="1">
        <f t="shared" si="70"/>
        <v>0.21145170723650783</v>
      </c>
      <c r="U41" s="1">
        <f t="shared" si="71"/>
        <v>0.22437412485745978</v>
      </c>
      <c r="V41" s="1">
        <f t="shared" si="72"/>
        <v>0.13597236094830081</v>
      </c>
      <c r="W41" s="1"/>
      <c r="X41" s="1">
        <f t="shared" si="73"/>
        <v>0.18245423992130669</v>
      </c>
      <c r="Y41" s="1">
        <f t="shared" si="74"/>
        <v>0.20410491518086873</v>
      </c>
      <c r="Z41" s="1">
        <f t="shared" si="75"/>
        <v>0.20946402492721</v>
      </c>
      <c r="AA41" s="1">
        <f t="shared" si="76"/>
        <v>0.14497847418538679</v>
      </c>
      <c r="AB41" s="8">
        <f t="shared" si="51"/>
        <v>0</v>
      </c>
      <c r="AC41" t="str" cm="1">
        <f t="array" ref="AC41">_xlfn.IFS(AD41=MAX(AD41:AG41),"road",AE41=MAX(AD41:AG41),"safety",AF41=MAX(AD41:AG41),"waste",AG41=MAX(AD41:AG41),"water")</f>
        <v>waste</v>
      </c>
      <c r="AD41" s="1">
        <f t="shared" si="52"/>
        <v>0.18245423992130669</v>
      </c>
      <c r="AE41" s="1">
        <f t="shared" si="53"/>
        <v>0.20410491518086873</v>
      </c>
      <c r="AF41" s="1">
        <f t="shared" si="54"/>
        <v>0.20946402492721</v>
      </c>
      <c r="AG41" s="1">
        <f t="shared" si="55"/>
        <v>0.14497847418538679</v>
      </c>
      <c r="AI41" s="8">
        <f t="shared" si="56"/>
        <v>1</v>
      </c>
      <c r="AJ41" t="str" cm="1">
        <f t="array" ref="AJ41">_xlfn.IFS(AK41=MAX(AK41:AN41),"road",AL41=MAX(AK41:AN41),"safety",AM41=MAX(AK41:AN41),"waste",AN41=MAX(AK41:AN41),"water")</f>
        <v>safety</v>
      </c>
      <c r="AK41" s="2">
        <f t="shared" si="61"/>
        <v>0.16290695013826603</v>
      </c>
      <c r="AL41" s="2">
        <f t="shared" si="62"/>
        <v>0.18325814627164014</v>
      </c>
      <c r="AM41" s="2">
        <f t="shared" si="63"/>
        <v>0.18323886863359215</v>
      </c>
      <c r="AN41" s="2">
        <f t="shared" si="64"/>
        <v>0.10651168274283564</v>
      </c>
      <c r="AO41" s="8">
        <f t="shared" si="23"/>
        <v>1</v>
      </c>
      <c r="AP41" t="str" cm="1">
        <f t="array" ref="AP41">_xlfn.IFS(AQ41=MAX(AQ41:AT41),"road",AR41=MAX(AQ41:AT41),"safety",AS41=MAX(AQ41:AT41),"waste",AT41=MAX(AQ41:AT41),"water")</f>
        <v>safety</v>
      </c>
      <c r="AQ41" s="2">
        <f t="shared" si="65"/>
        <v>0.17029062392655292</v>
      </c>
      <c r="AR41" s="2">
        <f t="shared" si="66"/>
        <v>0.18369442366278185</v>
      </c>
      <c r="AS41" s="2">
        <f t="shared" si="67"/>
        <v>0.17106228702388818</v>
      </c>
      <c r="AT41" s="2">
        <f t="shared" si="68"/>
        <v>0.11115016354212987</v>
      </c>
      <c r="AU41" s="2"/>
      <c r="AW41" s="10">
        <f t="shared" si="57"/>
        <v>1</v>
      </c>
      <c r="AX41" s="2">
        <f t="shared" si="58"/>
        <v>0.36695256993442199</v>
      </c>
      <c r="AY41" t="str" cm="1">
        <f t="array" ref="AY41">_xlfn.IFS(AZ41=MAX(AZ41:BC41),"road",BA41=MAX(AZ41:BC41),"safety",BB41=MAX(AZ41:BC41),"waste",BC41=MAX(AZ41:BC41),"water")</f>
        <v>safety</v>
      </c>
      <c r="AZ41" s="2">
        <f t="shared" si="28"/>
        <v>0.33319757406481898</v>
      </c>
      <c r="BA41" s="2">
        <f t="shared" si="29"/>
        <v>0.36695256993442199</v>
      </c>
      <c r="BB41" s="2">
        <f t="shared" si="30"/>
        <v>0.35430115565748033</v>
      </c>
      <c r="BC41" s="2">
        <f t="shared" si="31"/>
        <v>0.21766184628496549</v>
      </c>
      <c r="BD41" s="2"/>
      <c r="BF41" s="2">
        <f t="shared" si="32"/>
        <v>0.433424318077266</v>
      </c>
      <c r="BG41" s="2">
        <f t="shared" si="33"/>
        <v>0.56718878072620793</v>
      </c>
      <c r="BH41" s="2">
        <f t="shared" si="34"/>
        <v>0.60685793937880605</v>
      </c>
      <c r="BI41" s="2">
        <f t="shared" si="35"/>
        <v>0.39252896181771602</v>
      </c>
      <c r="BK41" s="7" t="e">
        <f t="shared" si="59"/>
        <v>#N/A</v>
      </c>
      <c r="BL41" t="e" cm="1">
        <f t="array" ref="BL41">_xlfn.IFS(BO41=MAX(BO41:BV41),"road",BR41=MAX(BO41:BV41),"water",BT41=MAX(BO41:BV41),"safety",BU41=MAX(BO41:BV41),"waste",BV41=MAX(BO41:BV41),"water")</f>
        <v>#N/A</v>
      </c>
      <c r="BM41">
        <f t="shared" si="60"/>
        <v>0</v>
      </c>
      <c r="BN41" t="str" cm="1">
        <f t="array" ref="BN41">_xlfn.IFS(BO41=MAX(BO41:BR41),"road",BP41=MAX(BO41:BR41),"safety",BQ41=MAX(BO41:BR41),"waste",BR41=MAX(BO41:BR41),"water")</f>
        <v>waste</v>
      </c>
      <c r="BO41" s="1">
        <f t="shared" si="36"/>
        <v>2.0942062925079878</v>
      </c>
      <c r="BP41" s="1">
        <f t="shared" si="37"/>
        <v>2.0826980740121153</v>
      </c>
      <c r="BQ41" s="1">
        <f t="shared" si="38"/>
        <v>2.5085305884684943</v>
      </c>
      <c r="BR41" s="1">
        <f t="shared" si="39"/>
        <v>1.3906264187894399</v>
      </c>
      <c r="BS41" s="1">
        <f t="shared" si="40"/>
        <v>1.7704454547620057</v>
      </c>
      <c r="BT41" s="1">
        <f t="shared" si="41"/>
        <v>1.0885595476312999</v>
      </c>
      <c r="BU41" s="1">
        <f t="shared" si="42"/>
        <v>0.94258811217244498</v>
      </c>
      <c r="BV41" s="1">
        <f t="shared" si="43"/>
        <v>0.69037368659707998</v>
      </c>
      <c r="BX41" s="1"/>
      <c r="BY41" s="1"/>
      <c r="BZ41" s="1"/>
      <c r="CA41" s="1"/>
    </row>
    <row r="42" spans="1:79" x14ac:dyDescent="0.25">
      <c r="A42" t="s">
        <v>57</v>
      </c>
      <c r="B42" s="6" t="s">
        <v>24</v>
      </c>
      <c r="C42" t="s">
        <v>3</v>
      </c>
      <c r="D42" t="s">
        <v>15</v>
      </c>
      <c r="E42" t="s">
        <v>3</v>
      </c>
      <c r="F42" t="s">
        <v>24</v>
      </c>
      <c r="G42" s="3">
        <v>0.360725993735245</v>
      </c>
      <c r="H42" s="3">
        <v>0.32250172615454398</v>
      </c>
      <c r="I42" s="3">
        <v>0.16516936987021999</v>
      </c>
      <c r="J42" s="3">
        <v>0.15160291023999001</v>
      </c>
      <c r="K42" s="3">
        <v>0.29759084298116001</v>
      </c>
      <c r="L42" s="3">
        <v>0.32005862187790801</v>
      </c>
      <c r="M42" s="3">
        <v>0.19176382401700301</v>
      </c>
      <c r="N42" s="2">
        <v>0.190586711123927</v>
      </c>
      <c r="O42" s="11">
        <f t="shared" si="8"/>
        <v>0.360725993735245</v>
      </c>
      <c r="Q42">
        <f t="shared" si="50"/>
        <v>0</v>
      </c>
      <c r="R42" t="str" cm="1">
        <f t="array" ref="R42">_xlfn.IFS(S42=MAX(S42:V42),"road",T42=MAX(S42:V42),"safety",U42=MAX(S42:V42),"waste",V42=MAX(S42:V42),"water")</f>
        <v>road</v>
      </c>
      <c r="S42" s="1">
        <f t="shared" si="69"/>
        <v>0.28256869509260857</v>
      </c>
      <c r="T42" s="1">
        <f t="shared" si="70"/>
        <v>0.23112623707742319</v>
      </c>
      <c r="U42" s="1">
        <f t="shared" si="71"/>
        <v>0.12662985023383533</v>
      </c>
      <c r="V42" s="1">
        <f t="shared" si="72"/>
        <v>0.11117546750932601</v>
      </c>
      <c r="W42" s="1"/>
      <c r="X42" s="1">
        <f t="shared" si="73"/>
        <v>0.26287191130002469</v>
      </c>
      <c r="Y42" s="1">
        <f t="shared" si="74"/>
        <v>0.24004396640843101</v>
      </c>
      <c r="Z42" s="1">
        <f t="shared" si="75"/>
        <v>0.12784254934466868</v>
      </c>
      <c r="AA42" s="1">
        <f t="shared" si="76"/>
        <v>0.13341069778674888</v>
      </c>
      <c r="AB42" s="8">
        <f t="shared" si="51"/>
        <v>0</v>
      </c>
      <c r="AC42" t="str" cm="1">
        <f t="array" ref="AC42">_xlfn.IFS(AD42=MAX(AD42:AG42),"road",AE42=MAX(AD42:AG42),"safety",AF42=MAX(AD42:AG42),"waste",AG42=MAX(AD42:AG42),"water")</f>
        <v>road</v>
      </c>
      <c r="AD42" s="1">
        <f t="shared" si="52"/>
        <v>0.26287191130002469</v>
      </c>
      <c r="AE42" s="1">
        <f t="shared" si="53"/>
        <v>0.24004396640843101</v>
      </c>
      <c r="AF42" s="1">
        <f t="shared" si="54"/>
        <v>0.12784254934466868</v>
      </c>
      <c r="AG42" s="1">
        <f t="shared" si="55"/>
        <v>0.13341069778674888</v>
      </c>
      <c r="AI42" s="8">
        <f t="shared" si="56"/>
        <v>0</v>
      </c>
      <c r="AJ42" t="str" cm="1">
        <f t="array" ref="AJ42">_xlfn.IFS(AK42=MAX(AK42:AN42),"road",AL42=MAX(AK42:AN42),"safety",AM42=MAX(AK42:AN42),"waste",AN42=MAX(AK42:AN42),"water")</f>
        <v>road</v>
      </c>
      <c r="AK42" s="2">
        <f t="shared" si="61"/>
        <v>0.25902130383489119</v>
      </c>
      <c r="AL42" s="2">
        <f t="shared" si="62"/>
        <v>0.2003094054671001</v>
      </c>
      <c r="AM42" s="2">
        <f t="shared" si="63"/>
        <v>0.10341437769096552</v>
      </c>
      <c r="AN42" s="2">
        <f t="shared" si="64"/>
        <v>8.7087449548972046E-2</v>
      </c>
      <c r="AO42" s="8">
        <f t="shared" si="23"/>
        <v>0</v>
      </c>
      <c r="AP42" t="str" cm="1">
        <f t="array" ref="AP42">_xlfn.IFS(AQ42=MAX(AQ42:AT42),"road",AR42=MAX(AQ42:AT42),"safety",AS42=MAX(AQ42:AT42),"waste",AT42=MAX(AQ42:AT42),"water")</f>
        <v>road</v>
      </c>
      <c r="AQ42" s="2">
        <f t="shared" si="65"/>
        <v>0.24534711721335636</v>
      </c>
      <c r="AR42" s="2">
        <f t="shared" si="66"/>
        <v>0.21603956976758792</v>
      </c>
      <c r="AS42" s="2">
        <f t="shared" si="67"/>
        <v>0.10440474863147942</v>
      </c>
      <c r="AT42" s="2">
        <f t="shared" si="68"/>
        <v>0.1022815349698408</v>
      </c>
      <c r="AU42" s="2"/>
      <c r="AW42" s="10">
        <f t="shared" si="57"/>
        <v>0</v>
      </c>
      <c r="AX42" s="2">
        <f t="shared" si="58"/>
        <v>0.50436842104824753</v>
      </c>
      <c r="AY42" t="str" cm="1">
        <f t="array" ref="AY42">_xlfn.IFS(AZ42=MAX(AZ42:BC42),"road",BA42=MAX(AZ42:BC42),"safety",BB42=MAX(AZ42:BC42),"waste",BC42=MAX(AZ42:BC42),"water")</f>
        <v>road</v>
      </c>
      <c r="AZ42" s="2">
        <f t="shared" si="28"/>
        <v>0.50436842104824753</v>
      </c>
      <c r="BA42" s="2">
        <f t="shared" si="29"/>
        <v>0.41634897523468806</v>
      </c>
      <c r="BB42" s="2">
        <f t="shared" si="30"/>
        <v>0.20781912632244492</v>
      </c>
      <c r="BC42" s="2">
        <f t="shared" si="31"/>
        <v>0.18936898451881284</v>
      </c>
      <c r="BD42" s="2"/>
      <c r="BF42" s="2">
        <f t="shared" si="32"/>
        <v>0.65831683671640495</v>
      </c>
      <c r="BG42" s="2">
        <f t="shared" si="33"/>
        <v>0.64256034803245199</v>
      </c>
      <c r="BH42" s="2">
        <f t="shared" si="34"/>
        <v>0.356933193887223</v>
      </c>
      <c r="BI42" s="2">
        <f t="shared" si="35"/>
        <v>0.34218962136391701</v>
      </c>
      <c r="BK42" s="7">
        <f t="shared" si="59"/>
        <v>0</v>
      </c>
      <c r="BL42" t="str" cm="1">
        <f t="array" ref="BL42">_xlfn.IFS(BO42=MAX(BO42:BV42),"road",BR42=MAX(BO42:BV42),"water",BT42=MAX(BO42:BV42),"safety",BU42=MAX(BO42:BV42),"waste",BV42=MAX(BO42:BV42),"water")</f>
        <v>road</v>
      </c>
      <c r="BM42">
        <f t="shared" si="60"/>
        <v>0</v>
      </c>
      <c r="BN42" t="str" cm="1">
        <f t="array" ref="BN42">_xlfn.IFS(BO42=MAX(BO42:BR42),"road",BP42=MAX(BO42:BR42),"safety",BQ42=MAX(BO42:BR42),"waste",BR42=MAX(BO42:BR42),"water")</f>
        <v>road</v>
      </c>
      <c r="BO42" s="1">
        <f t="shared" si="36"/>
        <v>3.3297784037099536</v>
      </c>
      <c r="BP42" s="1">
        <f t="shared" si="37"/>
        <v>2.2764827728556045</v>
      </c>
      <c r="BQ42" s="1">
        <f t="shared" si="38"/>
        <v>1.415737456030457</v>
      </c>
      <c r="BR42" s="1">
        <f t="shared" si="39"/>
        <v>1.137021826799925</v>
      </c>
      <c r="BS42" s="1">
        <f t="shared" si="40"/>
        <v>2.5507786541242288</v>
      </c>
      <c r="BT42" s="1">
        <f t="shared" si="41"/>
        <v>1.280234487511632</v>
      </c>
      <c r="BU42" s="1">
        <f t="shared" si="42"/>
        <v>0.57529147205100906</v>
      </c>
      <c r="BV42" s="1">
        <f t="shared" si="43"/>
        <v>0.6352890370797567</v>
      </c>
      <c r="BX42" s="1"/>
      <c r="BY42" s="1"/>
      <c r="BZ42" s="1"/>
      <c r="CA42" s="1"/>
    </row>
    <row r="43" spans="1:79" x14ac:dyDescent="0.25">
      <c r="A43" t="s">
        <v>58</v>
      </c>
      <c r="B43" s="6" t="s">
        <v>3</v>
      </c>
      <c r="C43" t="s">
        <v>22</v>
      </c>
      <c r="D43" t="s">
        <v>15</v>
      </c>
      <c r="E43" t="s">
        <v>22</v>
      </c>
      <c r="F43" t="s">
        <v>22</v>
      </c>
      <c r="G43" s="3">
        <v>0.236837884146397</v>
      </c>
      <c r="H43" s="3">
        <v>0.16508399810994001</v>
      </c>
      <c r="I43" s="3">
        <v>0.23094413787559301</v>
      </c>
      <c r="J43" s="3">
        <v>0.36713397986806801</v>
      </c>
      <c r="K43" s="3">
        <v>0.257005220180338</v>
      </c>
      <c r="L43" s="3">
        <v>0.18543769495278301</v>
      </c>
      <c r="M43" s="3">
        <v>0.239275354340027</v>
      </c>
      <c r="N43" s="3">
        <v>0.31828173052684899</v>
      </c>
      <c r="O43" s="11">
        <f t="shared" si="8"/>
        <v>0.36713397986806801</v>
      </c>
      <c r="Q43">
        <f t="shared" si="50"/>
        <v>0</v>
      </c>
      <c r="R43" t="str" cm="1">
        <f t="array" ref="R43">_xlfn.IFS(S43=MAX(S43:V43),"road",T43=MAX(S43:V43),"safety",U43=MAX(S43:V43),"waste",V43=MAX(S43:V43),"water")</f>
        <v>water</v>
      </c>
      <c r="S43" s="1">
        <f t="shared" si="69"/>
        <v>0.18552300924801099</v>
      </c>
      <c r="T43" s="1">
        <f t="shared" si="70"/>
        <v>0.11831019864545701</v>
      </c>
      <c r="U43" s="1">
        <f t="shared" si="71"/>
        <v>0.17705717237128796</v>
      </c>
      <c r="V43" s="1">
        <f t="shared" si="72"/>
        <v>0.26923158523658325</v>
      </c>
      <c r="W43" s="1"/>
      <c r="X43" s="1">
        <f t="shared" si="73"/>
        <v>0.22702127782596523</v>
      </c>
      <c r="Y43" s="1">
        <f t="shared" si="74"/>
        <v>0.13907827121458727</v>
      </c>
      <c r="Z43" s="1">
        <f t="shared" si="75"/>
        <v>0.15951690289335135</v>
      </c>
      <c r="AA43" s="1">
        <f t="shared" si="76"/>
        <v>0.22279721136879427</v>
      </c>
      <c r="AB43" s="8">
        <f t="shared" si="51"/>
        <v>1</v>
      </c>
      <c r="AC43" t="str" cm="1">
        <f t="array" ref="AC43">_xlfn.IFS(AD43=MAX(AD43:AG43),"road",AE43=MAX(AD43:AG43),"safety",AF43=MAX(AD43:AG43),"waste",AG43=MAX(AD43:AG43),"water")</f>
        <v>road</v>
      </c>
      <c r="AD43" s="1">
        <f t="shared" si="52"/>
        <v>0.22702127782596523</v>
      </c>
      <c r="AE43" s="1">
        <f t="shared" si="53"/>
        <v>0.13907827121458727</v>
      </c>
      <c r="AF43" s="1">
        <f t="shared" si="54"/>
        <v>0.15951690289335135</v>
      </c>
      <c r="AG43" s="1">
        <f t="shared" si="55"/>
        <v>0.22279721136879427</v>
      </c>
      <c r="AI43" s="8">
        <f t="shared" si="56"/>
        <v>0</v>
      </c>
      <c r="AJ43" t="str" cm="1">
        <f t="array" ref="AJ43">_xlfn.IFS(AK43=MAX(AK43:AN43),"road",AL43=MAX(AK43:AN43),"safety",AM43=MAX(AK43:AN43),"waste",AN43=MAX(AK43:AN43),"water")</f>
        <v>water</v>
      </c>
      <c r="AK43" s="2">
        <f t="shared" si="61"/>
        <v>0.1700627584773434</v>
      </c>
      <c r="AL43" s="2">
        <f t="shared" si="62"/>
        <v>0.10253550549272941</v>
      </c>
      <c r="AM43" s="2">
        <f t="shared" si="63"/>
        <v>0.14459669076988516</v>
      </c>
      <c r="AN43" s="2">
        <f t="shared" si="64"/>
        <v>0.21089807510199021</v>
      </c>
      <c r="AO43" s="8">
        <f t="shared" si="23"/>
        <v>1</v>
      </c>
      <c r="AP43" t="str" cm="1">
        <f t="array" ref="AP43">_xlfn.IFS(AQ43=MAX(AQ43:AT43),"road",AR43=MAX(AQ43:AT43),"safety",AS43=MAX(AQ43:AT43),"waste",AT43=MAX(AQ43:AT43),"water")</f>
        <v>road</v>
      </c>
      <c r="AQ43" s="2">
        <f t="shared" si="65"/>
        <v>0.21188652597090088</v>
      </c>
      <c r="AR43" s="2">
        <f t="shared" si="66"/>
        <v>0.12517044409312855</v>
      </c>
      <c r="AS43" s="2">
        <f t="shared" si="67"/>
        <v>0.13027213736290361</v>
      </c>
      <c r="AT43" s="2">
        <f t="shared" si="68"/>
        <v>0.17081119538274225</v>
      </c>
      <c r="AU43" s="2"/>
      <c r="AW43" s="10">
        <f t="shared" si="57"/>
        <v>1</v>
      </c>
      <c r="AX43" s="2">
        <f t="shared" si="58"/>
        <v>0.38194928444824428</v>
      </c>
      <c r="AY43" t="str" cm="1">
        <f t="array" ref="AY43">_xlfn.IFS(AZ43=MAX(AZ43:BC43),"road",BA43=MAX(AZ43:BC43),"safety",BB43=MAX(AZ43:BC43),"waste",BC43=MAX(AZ43:BC43),"water")</f>
        <v>road</v>
      </c>
      <c r="AZ43" s="2">
        <f t="shared" si="28"/>
        <v>0.38194928444824428</v>
      </c>
      <c r="BA43" s="2">
        <f t="shared" si="29"/>
        <v>0.22770594958585796</v>
      </c>
      <c r="BB43" s="2">
        <f t="shared" si="30"/>
        <v>0.27486882813278879</v>
      </c>
      <c r="BC43" s="2">
        <f t="shared" si="31"/>
        <v>0.38170927048473247</v>
      </c>
      <c r="BD43" s="2"/>
      <c r="BF43" s="2">
        <f t="shared" si="32"/>
        <v>0.49384310432673501</v>
      </c>
      <c r="BG43" s="2">
        <f t="shared" si="33"/>
        <v>0.35052169306272302</v>
      </c>
      <c r="BH43" s="2">
        <f t="shared" si="34"/>
        <v>0.47021949221561998</v>
      </c>
      <c r="BI43" s="2">
        <f t="shared" si="35"/>
        <v>0.685415710394917</v>
      </c>
      <c r="BK43" s="7">
        <f t="shared" si="59"/>
        <v>0</v>
      </c>
      <c r="BL43" t="str" cm="1">
        <f t="array" ref="BL43">_xlfn.IFS(BO43=MAX(BO43:BV43),"road",BR43=MAX(BO43:BV43),"water",BT43=MAX(BO43:BV43),"safety",BU43=MAX(BO43:BV43),"waste",BV43=MAX(BO43:BV43),"water")</f>
        <v>water</v>
      </c>
      <c r="BM43">
        <f t="shared" si="60"/>
        <v>0</v>
      </c>
      <c r="BN43" t="str" cm="1">
        <f t="array" ref="BN43">_xlfn.IFS(BO43=MAX(BO43:BR43),"road",BP43=MAX(BO43:BR43),"safety",BQ43=MAX(BO43:BR43),"waste",BR43=MAX(BO43:BR43),"water")</f>
        <v>water</v>
      </c>
      <c r="BO43" s="1">
        <f t="shared" si="36"/>
        <v>2.1861958536590493</v>
      </c>
      <c r="BP43" s="1">
        <f t="shared" si="37"/>
        <v>1.1652988101878119</v>
      </c>
      <c r="BQ43" s="1">
        <f t="shared" si="38"/>
        <v>1.9795211817907972</v>
      </c>
      <c r="BR43" s="1">
        <f t="shared" si="39"/>
        <v>2.7535048490105103</v>
      </c>
      <c r="BS43" s="1">
        <f t="shared" si="40"/>
        <v>2.2029018872600399</v>
      </c>
      <c r="BT43" s="1">
        <f t="shared" si="41"/>
        <v>0.74175077981113202</v>
      </c>
      <c r="BU43" s="1">
        <f t="shared" si="42"/>
        <v>0.71782606302008101</v>
      </c>
      <c r="BV43" s="1">
        <f t="shared" si="43"/>
        <v>1.0609391017561633</v>
      </c>
      <c r="BX43" s="1"/>
      <c r="BY43" s="1"/>
      <c r="BZ43" s="1"/>
      <c r="CA43" s="1"/>
    </row>
    <row r="44" spans="1:79" x14ac:dyDescent="0.25">
      <c r="A44" t="s">
        <v>59</v>
      </c>
      <c r="B44" s="6" t="s">
        <v>3</v>
      </c>
      <c r="C44" t="s">
        <v>3</v>
      </c>
      <c r="D44" t="s">
        <v>15</v>
      </c>
      <c r="E44" t="s">
        <v>3</v>
      </c>
      <c r="F44" t="s">
        <v>3</v>
      </c>
      <c r="G44" s="3">
        <v>0.36643377260855398</v>
      </c>
      <c r="H44" s="3">
        <v>0.229400114005507</v>
      </c>
      <c r="I44" s="3">
        <v>0.21441808776652499</v>
      </c>
      <c r="J44" s="3">
        <v>0.18974802561941201</v>
      </c>
      <c r="K44" s="3">
        <v>0.36112024887916899</v>
      </c>
      <c r="L44" s="3">
        <v>0.21301944085434801</v>
      </c>
      <c r="M44" s="3">
        <v>0.213749951439553</v>
      </c>
      <c r="N44" s="3">
        <v>0.212110358826928</v>
      </c>
      <c r="O44" s="11">
        <f t="shared" si="8"/>
        <v>0.36643377260855398</v>
      </c>
      <c r="Q44">
        <f t="shared" si="50"/>
        <v>1</v>
      </c>
      <c r="R44" t="str" cm="1">
        <f t="array" ref="R44">_xlfn.IFS(S44=MAX(S44:V44),"road",T44=MAX(S44:V44),"safety",U44=MAX(S44:V44),"waste",V44=MAX(S44:V44),"water")</f>
        <v>road</v>
      </c>
      <c r="S44" s="1">
        <f t="shared" si="69"/>
        <v>0.28703978854336726</v>
      </c>
      <c r="T44" s="1">
        <f t="shared" si="70"/>
        <v>0.16440341503728001</v>
      </c>
      <c r="U44" s="1">
        <f t="shared" si="71"/>
        <v>0.16438720062100248</v>
      </c>
      <c r="V44" s="1">
        <f t="shared" si="72"/>
        <v>0.13914855212090216</v>
      </c>
      <c r="W44" s="1"/>
      <c r="X44" s="1">
        <f t="shared" si="73"/>
        <v>0.31898955317659927</v>
      </c>
      <c r="Y44" s="1">
        <f t="shared" si="74"/>
        <v>0.15976458064076102</v>
      </c>
      <c r="Z44" s="1">
        <f t="shared" si="75"/>
        <v>0.14249996762636868</v>
      </c>
      <c r="AA44" s="1">
        <f t="shared" si="76"/>
        <v>0.14847725117884958</v>
      </c>
      <c r="AB44" s="8">
        <f t="shared" si="51"/>
        <v>1</v>
      </c>
      <c r="AC44" t="str" cm="1">
        <f t="array" ref="AC44">_xlfn.IFS(AD44=MAX(AD44:AG44),"road",AE44=MAX(AD44:AG44),"safety",AF44=MAX(AD44:AG44),"waste",AG44=MAX(AD44:AG44),"water")</f>
        <v>road</v>
      </c>
      <c r="AD44" s="1">
        <f t="shared" si="52"/>
        <v>0.31898955317659927</v>
      </c>
      <c r="AE44" s="1">
        <f t="shared" si="53"/>
        <v>0.15976458064076102</v>
      </c>
      <c r="AF44" s="1">
        <f t="shared" si="54"/>
        <v>0.14249996762636868</v>
      </c>
      <c r="AG44" s="1">
        <f t="shared" si="55"/>
        <v>0.14847725117884958</v>
      </c>
      <c r="AI44" s="8">
        <f t="shared" si="56"/>
        <v>1</v>
      </c>
      <c r="AJ44" t="str" cm="1">
        <f t="array" ref="AJ44">_xlfn.IFS(AK44=MAX(AK44:AN44),"road",AL44=MAX(AK44:AN44),"safety",AM44=MAX(AK44:AN44),"waste",AN44=MAX(AK44:AN44),"water")</f>
        <v>road</v>
      </c>
      <c r="AK44" s="2">
        <f t="shared" si="61"/>
        <v>0.26311980616475333</v>
      </c>
      <c r="AL44" s="2">
        <f t="shared" si="62"/>
        <v>0.14248295969897601</v>
      </c>
      <c r="AM44" s="2">
        <f t="shared" si="63"/>
        <v>0.13424954717381868</v>
      </c>
      <c r="AN44" s="2">
        <f t="shared" si="64"/>
        <v>0.10899969916137335</v>
      </c>
      <c r="AO44" s="8">
        <f t="shared" si="23"/>
        <v>1</v>
      </c>
      <c r="AP44" t="str" cm="1">
        <f t="array" ref="AP44">_xlfn.IFS(AQ44=MAX(AQ44:AT44),"road",AR44=MAX(AQ44:AT44),"safety",AS44=MAX(AQ44:AT44),"waste",AT44=MAX(AQ44:AT44),"water")</f>
        <v>road</v>
      </c>
      <c r="AQ44" s="2">
        <f t="shared" si="65"/>
        <v>0.29772358296482598</v>
      </c>
      <c r="AR44" s="2">
        <f t="shared" si="66"/>
        <v>0.14378812257668491</v>
      </c>
      <c r="AS44" s="2">
        <f t="shared" si="67"/>
        <v>0.11637497356153442</v>
      </c>
      <c r="AT44" s="2">
        <f t="shared" si="68"/>
        <v>0.11383255923711801</v>
      </c>
      <c r="AU44" s="2"/>
      <c r="AW44" s="10">
        <f t="shared" si="57"/>
        <v>1</v>
      </c>
      <c r="AX44" s="2">
        <f t="shared" si="58"/>
        <v>0.56084338912957932</v>
      </c>
      <c r="AY44" t="str" cm="1">
        <f t="array" ref="AY44">_xlfn.IFS(AZ44=MAX(AZ44:BC44),"road",BA44=MAX(AZ44:BC44),"safety",BB44=MAX(AZ44:BC44),"waste",BC44=MAX(AZ44:BC44),"water")</f>
        <v>road</v>
      </c>
      <c r="AZ44" s="2">
        <f t="shared" si="28"/>
        <v>0.56084338912957932</v>
      </c>
      <c r="BA44" s="2">
        <f t="shared" si="29"/>
        <v>0.28627108227566089</v>
      </c>
      <c r="BB44" s="2">
        <f t="shared" si="30"/>
        <v>0.25062452073535313</v>
      </c>
      <c r="BC44" s="2">
        <f t="shared" si="31"/>
        <v>0.22283225839849136</v>
      </c>
      <c r="BD44" s="2"/>
      <c r="BF44" s="2">
        <f t="shared" si="32"/>
        <v>0.72755402148772297</v>
      </c>
      <c r="BG44" s="2">
        <f t="shared" si="33"/>
        <v>0.44241955485985501</v>
      </c>
      <c r="BH44" s="2">
        <f t="shared" si="34"/>
        <v>0.42816803920607799</v>
      </c>
      <c r="BI44" s="2">
        <f t="shared" si="35"/>
        <v>0.40185838444634003</v>
      </c>
      <c r="BK44" s="7">
        <f t="shared" si="59"/>
        <v>1</v>
      </c>
      <c r="BL44" t="str" cm="1">
        <f t="array" ref="BL44">_xlfn.IFS(BO44=MAX(BO44:BV44),"road",BR44=MAX(BO44:BV44),"water",BT44=MAX(BO44:BV44),"safety",BU44=MAX(BO44:BV44),"waste",BV44=MAX(BO44:BV44),"water")</f>
        <v>road</v>
      </c>
      <c r="BM44">
        <f t="shared" si="60"/>
        <v>1</v>
      </c>
      <c r="BN44" t="str" cm="1">
        <f t="array" ref="BN44">_xlfn.IFS(BO44=MAX(BO44:BR44),"road",BP44=MAX(BO44:BR44),"safety",BQ44=MAX(BO44:BR44),"waste",BR44=MAX(BO44:BR44),"water")</f>
        <v>road</v>
      </c>
      <c r="BO44" s="1">
        <f t="shared" si="36"/>
        <v>3.3824655933097287</v>
      </c>
      <c r="BP44" s="1">
        <f t="shared" si="37"/>
        <v>1.6192949223918141</v>
      </c>
      <c r="BQ44" s="1">
        <f t="shared" si="38"/>
        <v>1.8378693237130712</v>
      </c>
      <c r="BR44" s="1">
        <f t="shared" si="39"/>
        <v>1.42311019214559</v>
      </c>
      <c r="BS44" s="1">
        <f t="shared" si="40"/>
        <v>3.0953164189643054</v>
      </c>
      <c r="BT44" s="1">
        <f t="shared" si="41"/>
        <v>0.85207776341739205</v>
      </c>
      <c r="BU44" s="1">
        <f t="shared" si="42"/>
        <v>0.641249854318659</v>
      </c>
      <c r="BV44" s="1">
        <f t="shared" si="43"/>
        <v>0.70703452942309331</v>
      </c>
      <c r="BX44" s="1"/>
      <c r="BY44" s="1"/>
      <c r="BZ44" s="1"/>
      <c r="CA44" s="1"/>
    </row>
    <row r="45" spans="1:79" x14ac:dyDescent="0.25">
      <c r="A45" t="s">
        <v>60</v>
      </c>
      <c r="B45" s="6" t="s">
        <v>3</v>
      </c>
      <c r="C45" t="s">
        <v>22</v>
      </c>
      <c r="D45" t="s">
        <v>15</v>
      </c>
      <c r="E45" t="s">
        <v>22</v>
      </c>
      <c r="F45" t="s">
        <v>22</v>
      </c>
      <c r="G45" s="3">
        <v>0.21811449172111899</v>
      </c>
      <c r="H45" s="3">
        <v>0.274958299488194</v>
      </c>
      <c r="I45" s="3">
        <v>0.20113796247559099</v>
      </c>
      <c r="J45" s="3">
        <v>0.30578924631509402</v>
      </c>
      <c r="K45" s="3">
        <v>0.190441545576119</v>
      </c>
      <c r="L45" s="3">
        <v>0.23488107681916001</v>
      </c>
      <c r="M45" s="3">
        <v>0.20102339358013599</v>
      </c>
      <c r="N45" s="3">
        <v>0.373653984024583</v>
      </c>
      <c r="O45" s="11">
        <f t="shared" si="8"/>
        <v>0.30578924631509402</v>
      </c>
      <c r="Q45">
        <f t="shared" si="50"/>
        <v>0</v>
      </c>
      <c r="R45" t="str" cm="1">
        <f t="array" ref="R45">_xlfn.IFS(S45=MAX(S45:V45),"road",T45=MAX(S45:V45),"safety",U45=MAX(S45:V45),"waste",V45=MAX(S45:V45),"water")</f>
        <v>water</v>
      </c>
      <c r="S45" s="1">
        <f t="shared" si="69"/>
        <v>0.17085635184820988</v>
      </c>
      <c r="T45" s="1">
        <f t="shared" si="70"/>
        <v>0.19705344796653904</v>
      </c>
      <c r="U45" s="1">
        <f t="shared" si="71"/>
        <v>0.1542057712312864</v>
      </c>
      <c r="V45" s="1">
        <f t="shared" si="72"/>
        <v>0.22424544729773563</v>
      </c>
      <c r="W45" s="1"/>
      <c r="X45" s="1">
        <f t="shared" si="73"/>
        <v>0.16822336525890511</v>
      </c>
      <c r="Y45" s="1">
        <f t="shared" si="74"/>
        <v>0.17616080761437</v>
      </c>
      <c r="Z45" s="1">
        <f t="shared" si="75"/>
        <v>0.13401559572009067</v>
      </c>
      <c r="AA45" s="1">
        <f t="shared" si="76"/>
        <v>0.26155778881720809</v>
      </c>
      <c r="AB45" s="8">
        <f t="shared" si="51"/>
        <v>0</v>
      </c>
      <c r="AC45" t="str" cm="1">
        <f t="array" ref="AC45">_xlfn.IFS(AD45=MAX(AD45:AG45),"road",AE45=MAX(AD45:AG45),"safety",AF45=MAX(AD45:AG45),"waste",AG45=MAX(AD45:AG45),"water")</f>
        <v>water</v>
      </c>
      <c r="AD45" s="1">
        <f t="shared" si="52"/>
        <v>0.16822336525890511</v>
      </c>
      <c r="AE45" s="1">
        <f t="shared" si="53"/>
        <v>0.17616080761437</v>
      </c>
      <c r="AF45" s="1">
        <f t="shared" si="54"/>
        <v>0.13401559572009067</v>
      </c>
      <c r="AG45" s="1">
        <f t="shared" si="55"/>
        <v>0.26155778881720809</v>
      </c>
      <c r="AI45" s="8">
        <f t="shared" si="56"/>
        <v>0</v>
      </c>
      <c r="AJ45" t="str" cm="1">
        <f t="array" ref="AJ45">_xlfn.IFS(AK45=MAX(AK45:AN45),"road",AL45=MAX(AK45:AN45),"safety",AM45=MAX(AK45:AN45),"waste",AN45=MAX(AK45:AN45),"water")</f>
        <v>water</v>
      </c>
      <c r="AK45" s="2">
        <f t="shared" si="61"/>
        <v>0.15661832252752572</v>
      </c>
      <c r="AL45" s="2">
        <f t="shared" si="62"/>
        <v>0.17077965490433383</v>
      </c>
      <c r="AM45" s="2">
        <f t="shared" si="63"/>
        <v>0.12593471317221722</v>
      </c>
      <c r="AN45" s="2">
        <f t="shared" si="64"/>
        <v>0.17565893371655958</v>
      </c>
      <c r="AO45" s="8">
        <f t="shared" si="23"/>
        <v>0</v>
      </c>
      <c r="AP45" t="str" cm="1">
        <f t="array" ref="AP45">_xlfn.IFS(AQ45=MAX(AQ45:AT45),"road",AR45=MAX(AQ45:AT45),"safety",AS45=MAX(AQ45:AT45),"waste",AT45=MAX(AQ45:AT45),"water")</f>
        <v>water</v>
      </c>
      <c r="AQ45" s="2">
        <f t="shared" si="65"/>
        <v>0.15700847424164477</v>
      </c>
      <c r="AR45" s="2">
        <f t="shared" si="66"/>
        <v>0.158544726852933</v>
      </c>
      <c r="AS45" s="2">
        <f t="shared" si="67"/>
        <v>0.10944606983807405</v>
      </c>
      <c r="AT45" s="2">
        <f t="shared" si="68"/>
        <v>0.20052763809319285</v>
      </c>
      <c r="AU45" s="2"/>
      <c r="AW45" s="10">
        <f t="shared" si="57"/>
        <v>0</v>
      </c>
      <c r="AX45" s="2">
        <f t="shared" si="58"/>
        <v>0.37618657180975246</v>
      </c>
      <c r="AY45" t="str" cm="1">
        <f t="array" ref="AY45">_xlfn.IFS(AZ45=MAX(AZ45:BC45),"road",BA45=MAX(AZ45:BC45),"safety",BB45=MAX(AZ45:BC45),"waste",BC45=MAX(AZ45:BC45),"water")</f>
        <v>water</v>
      </c>
      <c r="AZ45" s="2">
        <f t="shared" si="28"/>
        <v>0.31362679676917049</v>
      </c>
      <c r="BA45" s="2">
        <f t="shared" si="29"/>
        <v>0.32932438175726686</v>
      </c>
      <c r="BB45" s="2">
        <f t="shared" si="30"/>
        <v>0.23538078301029125</v>
      </c>
      <c r="BC45" s="2">
        <f t="shared" si="31"/>
        <v>0.37618657180975246</v>
      </c>
      <c r="BD45" s="2"/>
      <c r="BF45" s="2">
        <f t="shared" si="32"/>
        <v>0.40855603729723799</v>
      </c>
      <c r="BG45" s="2">
        <f t="shared" si="33"/>
        <v>0.50983937630735399</v>
      </c>
      <c r="BH45" s="2">
        <f t="shared" si="34"/>
        <v>0.402161356055727</v>
      </c>
      <c r="BI45" s="2">
        <f t="shared" si="35"/>
        <v>0.67944323033967702</v>
      </c>
      <c r="BK45" s="7">
        <f t="shared" si="59"/>
        <v>0</v>
      </c>
      <c r="BL45" t="str" cm="1">
        <f t="array" ref="BL45">_xlfn.IFS(BO45=MAX(BO45:BV45),"road",BR45=MAX(BO45:BV45),"water",BT45=MAX(BO45:BV45),"safety",BU45=MAX(BO45:BV45),"waste",BV45=MAX(BO45:BV45),"water")</f>
        <v>water</v>
      </c>
      <c r="BM45">
        <f t="shared" si="60"/>
        <v>0</v>
      </c>
      <c r="BN45" t="str" cm="1">
        <f t="array" ref="BN45">_xlfn.IFS(BO45=MAX(BO45:BR45),"road",BP45=MAX(BO45:BR45),"safety",BQ45=MAX(BO45:BR45),"waste",BR45=MAX(BO45:BR45),"water")</f>
        <v>water</v>
      </c>
      <c r="BO45" s="1">
        <f t="shared" si="36"/>
        <v>2.0133645389641752</v>
      </c>
      <c r="BP45" s="1">
        <f t="shared" si="37"/>
        <v>1.9408821140343107</v>
      </c>
      <c r="BQ45" s="1">
        <f t="shared" si="38"/>
        <v>1.7240396783622085</v>
      </c>
      <c r="BR45" s="1">
        <f t="shared" si="39"/>
        <v>2.2934193473632054</v>
      </c>
      <c r="BS45" s="1">
        <f t="shared" si="40"/>
        <v>1.632356104938163</v>
      </c>
      <c r="BT45" s="1">
        <f t="shared" si="41"/>
        <v>0.93952430727664005</v>
      </c>
      <c r="BU45" s="1">
        <f t="shared" si="42"/>
        <v>0.60307018074040797</v>
      </c>
      <c r="BV45" s="1">
        <f t="shared" si="43"/>
        <v>1.2455132800819433</v>
      </c>
      <c r="BX45" s="1"/>
      <c r="BY45" s="1"/>
      <c r="BZ45" s="1"/>
      <c r="CA45" s="1"/>
    </row>
    <row r="46" spans="1:79" x14ac:dyDescent="0.25">
      <c r="A46" t="s">
        <v>61</v>
      </c>
      <c r="B46" s="6" t="s">
        <v>3</v>
      </c>
      <c r="C46" t="s">
        <v>24</v>
      </c>
      <c r="D46" t="s">
        <v>15</v>
      </c>
      <c r="E46" t="s">
        <v>24</v>
      </c>
      <c r="F46" t="s">
        <v>24</v>
      </c>
      <c r="G46" s="3">
        <v>0.28686695931165601</v>
      </c>
      <c r="H46" s="3">
        <v>0.29952434125183203</v>
      </c>
      <c r="I46" s="3">
        <v>0.207515753544707</v>
      </c>
      <c r="J46" s="3">
        <v>0.20609294589180299</v>
      </c>
      <c r="K46" s="3">
        <v>0.266417214890038</v>
      </c>
      <c r="L46" s="3">
        <v>0.27846726344886802</v>
      </c>
      <c r="M46" s="3">
        <v>0.20795070009811201</v>
      </c>
      <c r="N46" s="3">
        <v>0.247164821562981</v>
      </c>
      <c r="O46" s="11">
        <f t="shared" si="8"/>
        <v>0.29952434125183203</v>
      </c>
      <c r="Q46">
        <f t="shared" si="50"/>
        <v>1</v>
      </c>
      <c r="R46" t="str" cm="1">
        <f t="array" ref="R46">_xlfn.IFS(S46=MAX(S46:V46),"road",T46=MAX(S46:V46),"safety",U46=MAX(S46:V46),"waste",V46=MAX(S46:V46),"water")</f>
        <v>road</v>
      </c>
      <c r="S46" s="1">
        <f t="shared" si="69"/>
        <v>0.22471245146079721</v>
      </c>
      <c r="T46" s="1">
        <f t="shared" si="70"/>
        <v>0.21465911123047962</v>
      </c>
      <c r="U46" s="1">
        <f t="shared" si="71"/>
        <v>0.15909541105094202</v>
      </c>
      <c r="V46" s="1">
        <f t="shared" si="72"/>
        <v>0.1511348269873222</v>
      </c>
      <c r="W46" s="1"/>
      <c r="X46" s="1">
        <f t="shared" si="73"/>
        <v>0.23533520648620024</v>
      </c>
      <c r="Y46" s="1">
        <f t="shared" si="74"/>
        <v>0.208850447586651</v>
      </c>
      <c r="Z46" s="1">
        <f t="shared" si="75"/>
        <v>0.13863380006540801</v>
      </c>
      <c r="AA46" s="1">
        <f t="shared" si="76"/>
        <v>0.17301537509408668</v>
      </c>
      <c r="AB46" s="8">
        <f t="shared" si="51"/>
        <v>1</v>
      </c>
      <c r="AC46" t="str" cm="1">
        <f t="array" ref="AC46">_xlfn.IFS(AD46=MAX(AD46:AG46),"road",AE46=MAX(AD46:AG46),"safety",AF46=MAX(AD46:AG46),"waste",AG46=MAX(AD46:AG46),"water")</f>
        <v>road</v>
      </c>
      <c r="AD46" s="1">
        <f t="shared" si="52"/>
        <v>0.23533520648620024</v>
      </c>
      <c r="AE46" s="1">
        <f t="shared" si="53"/>
        <v>0.208850447586651</v>
      </c>
      <c r="AF46" s="1">
        <f t="shared" si="54"/>
        <v>0.13863380006540801</v>
      </c>
      <c r="AG46" s="1">
        <f t="shared" si="55"/>
        <v>0.17301537509408668</v>
      </c>
      <c r="AI46" s="8">
        <f t="shared" si="56"/>
        <v>1</v>
      </c>
      <c r="AJ46" t="str" cm="1">
        <f t="array" ref="AJ46">_xlfn.IFS(AK46=MAX(AK46:AN46),"road",AL46=MAX(AK46:AN46),"safety",AM46=MAX(AK46:AN46),"waste",AN46=MAX(AK46:AN46),"water")</f>
        <v>road</v>
      </c>
      <c r="AK46" s="2">
        <f t="shared" si="61"/>
        <v>0.2059864138390641</v>
      </c>
      <c r="AL46" s="2">
        <f t="shared" si="62"/>
        <v>0.18603789639974902</v>
      </c>
      <c r="AM46" s="2">
        <f t="shared" si="63"/>
        <v>0.12992791902493597</v>
      </c>
      <c r="AN46" s="2">
        <f t="shared" si="64"/>
        <v>0.11838894780673571</v>
      </c>
      <c r="AO46" s="8">
        <f t="shared" si="23"/>
        <v>1</v>
      </c>
      <c r="AP46" t="str" cm="1">
        <f t="array" ref="AP46">_xlfn.IFS(AQ46=MAX(AQ46:AT46),"road",AR46=MAX(AQ46:AT46),"safety",AS46=MAX(AQ46:AT46),"waste",AT46=MAX(AQ46:AT46),"water")</f>
        <v>road</v>
      </c>
      <c r="AQ46" s="2">
        <f t="shared" si="65"/>
        <v>0.21964619272045355</v>
      </c>
      <c r="AR46" s="2">
        <f t="shared" si="66"/>
        <v>0.18796540282798591</v>
      </c>
      <c r="AS46" s="2">
        <f t="shared" si="67"/>
        <v>0.11321760338674988</v>
      </c>
      <c r="AT46" s="2">
        <f t="shared" si="68"/>
        <v>0.13264512090546646</v>
      </c>
      <c r="AU46" s="2"/>
      <c r="AW46" s="10">
        <f t="shared" si="57"/>
        <v>1</v>
      </c>
      <c r="AX46" s="2">
        <f t="shared" si="58"/>
        <v>0.42563260655951762</v>
      </c>
      <c r="AY46" t="str" cm="1">
        <f t="array" ref="AY46">_xlfn.IFS(AZ46=MAX(AZ46:BC46),"road",BA46=MAX(AZ46:BC46),"safety",BB46=MAX(AZ46:BC46),"waste",BC46=MAX(AZ46:BC46),"water")</f>
        <v>road</v>
      </c>
      <c r="AZ46" s="2">
        <f t="shared" si="28"/>
        <v>0.42563260655951762</v>
      </c>
      <c r="BA46" s="2">
        <f t="shared" si="29"/>
        <v>0.3740032992277349</v>
      </c>
      <c r="BB46" s="2">
        <f t="shared" si="30"/>
        <v>0.24314552241168585</v>
      </c>
      <c r="BC46" s="2">
        <f t="shared" si="31"/>
        <v>0.25103406871220219</v>
      </c>
      <c r="BD46" s="2"/>
      <c r="BF46" s="2">
        <f t="shared" si="32"/>
        <v>0.55328417420169407</v>
      </c>
      <c r="BG46" s="2">
        <f t="shared" si="33"/>
        <v>0.5779916047007001</v>
      </c>
      <c r="BH46" s="2">
        <f t="shared" si="34"/>
        <v>0.41546645364281898</v>
      </c>
      <c r="BI46" s="2">
        <f t="shared" si="35"/>
        <v>0.45325776745478397</v>
      </c>
      <c r="BK46" s="7">
        <f t="shared" si="59"/>
        <v>1</v>
      </c>
      <c r="BL46" t="str" cm="1">
        <f t="array" ref="BL46">_xlfn.IFS(BO46=MAX(BO46:BV46),"road",BR46=MAX(BO46:BV46),"water",BT46=MAX(BO46:BV46),"safety",BU46=MAX(BO46:BV46),"waste",BV46=MAX(BO46:BV46),"water")</f>
        <v>road</v>
      </c>
      <c r="BM46">
        <f t="shared" si="60"/>
        <v>1</v>
      </c>
      <c r="BN46" t="str" cm="1">
        <f t="array" ref="BN46">_xlfn.IFS(BO46=MAX(BO46:BR46),"road",BP46=MAX(BO46:BR46),"safety",BQ46=MAX(BO46:BR46),"waste",BR46=MAX(BO46:BR46),"water")</f>
        <v>road</v>
      </c>
      <c r="BO46" s="1">
        <f t="shared" si="36"/>
        <v>2.6480027013383629</v>
      </c>
      <c r="BP46" s="1">
        <f t="shared" si="37"/>
        <v>2.114289467659991</v>
      </c>
      <c r="BQ46" s="1">
        <f t="shared" si="38"/>
        <v>1.7787064589546313</v>
      </c>
      <c r="BR46" s="1">
        <f t="shared" si="39"/>
        <v>1.5456970941885224</v>
      </c>
      <c r="BS46" s="1">
        <f t="shared" si="40"/>
        <v>2.2835761276288973</v>
      </c>
      <c r="BT46" s="1">
        <f t="shared" si="41"/>
        <v>1.1138690537954721</v>
      </c>
      <c r="BU46" s="1">
        <f t="shared" si="42"/>
        <v>0.62385210029433602</v>
      </c>
      <c r="BV46" s="1">
        <f t="shared" si="43"/>
        <v>0.82388273854326999</v>
      </c>
      <c r="BX46" s="1"/>
      <c r="BY46" s="1"/>
      <c r="BZ46" s="1"/>
      <c r="CA46" s="1"/>
    </row>
    <row r="47" spans="1:79" x14ac:dyDescent="0.25">
      <c r="A47" t="s">
        <v>62</v>
      </c>
      <c r="B47" s="6" t="s">
        <v>3</v>
      </c>
      <c r="C47" t="s">
        <v>3</v>
      </c>
      <c r="D47" t="s">
        <v>15</v>
      </c>
      <c r="E47" t="s">
        <v>3</v>
      </c>
      <c r="F47" t="s">
        <v>3</v>
      </c>
      <c r="G47" s="3">
        <v>0.35911994030210698</v>
      </c>
      <c r="H47" s="3">
        <v>0.327086405976659</v>
      </c>
      <c r="I47" s="3">
        <v>0.164370252464901</v>
      </c>
      <c r="J47" s="3">
        <v>0.149423401256331</v>
      </c>
      <c r="K47" s="3">
        <v>0.334138528092908</v>
      </c>
      <c r="L47" s="3">
        <v>0.285060902647014</v>
      </c>
      <c r="M47" s="3">
        <v>0.19098859391287601</v>
      </c>
      <c r="N47" s="3">
        <v>0.18981197534720001</v>
      </c>
      <c r="O47" s="11">
        <f t="shared" si="8"/>
        <v>0.35911994030210698</v>
      </c>
      <c r="Q47">
        <f t="shared" si="50"/>
        <v>1</v>
      </c>
      <c r="R47" t="str" cm="1">
        <f t="array" ref="R47">_xlfn.IFS(S47=MAX(S47:V47),"road",T47=MAX(S47:V47),"safety",U47=MAX(S47:V47),"waste",V47=MAX(S47:V47),"water")</f>
        <v>road</v>
      </c>
      <c r="S47" s="1">
        <f t="shared" si="69"/>
        <v>0.28131061990331713</v>
      </c>
      <c r="T47" s="1">
        <f t="shared" si="70"/>
        <v>0.23441192428327229</v>
      </c>
      <c r="U47" s="1">
        <f t="shared" si="71"/>
        <v>0.1260171935564241</v>
      </c>
      <c r="V47" s="1">
        <f t="shared" si="72"/>
        <v>0.10957716092130941</v>
      </c>
      <c r="W47" s="1"/>
      <c r="X47" s="1">
        <f t="shared" si="73"/>
        <v>0.29515569981540207</v>
      </c>
      <c r="Y47" s="1">
        <f t="shared" si="74"/>
        <v>0.2137956769852605</v>
      </c>
      <c r="Z47" s="1">
        <f t="shared" si="75"/>
        <v>0.12732572927525068</v>
      </c>
      <c r="AA47" s="1">
        <f t="shared" si="76"/>
        <v>0.13286838274304</v>
      </c>
      <c r="AB47" s="8">
        <f t="shared" si="51"/>
        <v>1</v>
      </c>
      <c r="AC47" t="str" cm="1">
        <f t="array" ref="AC47">_xlfn.IFS(AD47=MAX(AD47:AG47),"road",AE47=MAX(AD47:AG47),"safety",AF47=MAX(AD47:AG47),"waste",AG47=MAX(AD47:AG47),"water")</f>
        <v>road</v>
      </c>
      <c r="AD47" s="1">
        <f>SUM(S47*Q110,X47)</f>
        <v>0.29515569981540207</v>
      </c>
      <c r="AE47" s="1">
        <f t="shared" si="53"/>
        <v>0.2137956769852605</v>
      </c>
      <c r="AF47" s="1">
        <f t="shared" si="54"/>
        <v>0.12732572927525068</v>
      </c>
      <c r="AG47" s="1">
        <f t="shared" si="55"/>
        <v>0.13286838274304</v>
      </c>
      <c r="AI47" s="8">
        <f t="shared" si="56"/>
        <v>1</v>
      </c>
      <c r="AJ47" t="str" cm="1">
        <f t="array" ref="AJ47">_xlfn.IFS(AK47=MAX(AK47:AN47),"road",AL47=MAX(AK47:AN47),"safety",AM47=MAX(AK47:AN47),"waste",AN47=MAX(AK47:AN47),"water")</f>
        <v>road</v>
      </c>
      <c r="AK47" s="2">
        <f t="shared" si="61"/>
        <v>0.25786806824470737</v>
      </c>
      <c r="AL47" s="2">
        <f t="shared" si="62"/>
        <v>0.20315700104550266</v>
      </c>
      <c r="AM47" s="2">
        <f t="shared" si="63"/>
        <v>0.10291404140441301</v>
      </c>
      <c r="AN47" s="2">
        <f t="shared" si="64"/>
        <v>8.583544272169237E-2</v>
      </c>
      <c r="AO47" s="8">
        <f t="shared" si="23"/>
        <v>1</v>
      </c>
      <c r="AP47" t="str" cm="1">
        <f t="array" ref="AP47">_xlfn.IFS(AQ47=MAX(AQ47:AT47),"road",AR47=MAX(AQ47:AT47),"safety",AS47=MAX(AQ47:AT47),"waste",AT47=MAX(AQ47:AT47),"water")</f>
        <v>road</v>
      </c>
      <c r="AQ47" s="2">
        <f t="shared" si="65"/>
        <v>0.27547865316104192</v>
      </c>
      <c r="AR47" s="2">
        <f t="shared" si="66"/>
        <v>0.19241610928673444</v>
      </c>
      <c r="AS47" s="2">
        <f t="shared" si="67"/>
        <v>0.10398267890812139</v>
      </c>
      <c r="AT47" s="2">
        <f t="shared" si="68"/>
        <v>0.10186576010299732</v>
      </c>
      <c r="AU47" s="2"/>
      <c r="AW47" s="10">
        <f t="shared" si="57"/>
        <v>1</v>
      </c>
      <c r="AX47" s="2">
        <f t="shared" si="58"/>
        <v>0.53334672140574924</v>
      </c>
      <c r="AY47" t="str" cm="1">
        <f t="array" ref="AY47">_xlfn.IFS(AZ47=MAX(AZ47:BC47),"road",BA47=MAX(AZ47:BC47),"safety",BB47=MAX(AZ47:BC47),"waste",BC47=MAX(AZ47:BC47),"water")</f>
        <v>road</v>
      </c>
      <c r="AZ47" s="2">
        <f t="shared" si="28"/>
        <v>0.53334672140574924</v>
      </c>
      <c r="BA47" s="2">
        <f t="shared" si="29"/>
        <v>0.39557311033223708</v>
      </c>
      <c r="BB47" s="2">
        <f t="shared" si="30"/>
        <v>0.20689672031253442</v>
      </c>
      <c r="BC47" s="2">
        <f t="shared" si="31"/>
        <v>0.18770120282468969</v>
      </c>
      <c r="BD47" s="2"/>
      <c r="BF47" s="2">
        <f t="shared" si="32"/>
        <v>0.69325846839501493</v>
      </c>
      <c r="BG47" s="2">
        <f t="shared" si="33"/>
        <v>0.61214730862367306</v>
      </c>
      <c r="BH47" s="2">
        <f t="shared" si="34"/>
        <v>0.35535884637777704</v>
      </c>
      <c r="BI47" s="2">
        <f t="shared" si="35"/>
        <v>0.33923537660353098</v>
      </c>
      <c r="BK47" s="7">
        <f t="shared" si="59"/>
        <v>1</v>
      </c>
      <c r="BL47" t="str" cm="1">
        <f t="array" ref="BL47">_xlfn.IFS(BO47=MAX(BO47:BV47),"road",BR47=MAX(BO47:BV47),"water",BT47=MAX(BO47:BV47),"safety",BU47=MAX(BO47:BV47),"waste",BV47=MAX(BO47:BV47),"water")</f>
        <v>road</v>
      </c>
      <c r="BM47">
        <f t="shared" si="60"/>
        <v>1</v>
      </c>
      <c r="BN47" t="str" cm="1">
        <f t="array" ref="BN47">_xlfn.IFS(BO47=MAX(BO47:BR47),"road",BP47=MAX(BO47:BR47),"safety",BQ47=MAX(BO47:BR47),"waste",BR47=MAX(BO47:BR47),"water")</f>
        <v>road</v>
      </c>
      <c r="BO47" s="1">
        <f t="shared" si="36"/>
        <v>3.3149532950963718</v>
      </c>
      <c r="BP47" s="1">
        <f t="shared" si="37"/>
        <v>2.3088452186587696</v>
      </c>
      <c r="BQ47" s="1">
        <f t="shared" si="38"/>
        <v>1.40888787827058</v>
      </c>
      <c r="BR47" s="1">
        <f t="shared" si="39"/>
        <v>1.1206755094224825</v>
      </c>
      <c r="BS47" s="1">
        <f t="shared" si="40"/>
        <v>2.8640445265106398</v>
      </c>
      <c r="BT47" s="1">
        <f t="shared" si="41"/>
        <v>1.140243610588056</v>
      </c>
      <c r="BU47" s="1">
        <f t="shared" si="42"/>
        <v>0.57296578173862811</v>
      </c>
      <c r="BV47" s="1">
        <f t="shared" si="43"/>
        <v>0.63270658449066675</v>
      </c>
      <c r="BX47" s="1"/>
      <c r="BY47" s="1"/>
      <c r="BZ47" s="1"/>
      <c r="CA47" s="1"/>
    </row>
    <row r="48" spans="1:79" x14ac:dyDescent="0.25">
      <c r="A48" t="s">
        <v>63</v>
      </c>
      <c r="B48" s="6" t="s">
        <v>17</v>
      </c>
      <c r="C48" t="s">
        <v>17</v>
      </c>
      <c r="D48" t="s">
        <v>15</v>
      </c>
      <c r="E48" t="s">
        <v>17</v>
      </c>
      <c r="F48" t="s">
        <v>17</v>
      </c>
      <c r="G48" s="3">
        <v>0.161003433952109</v>
      </c>
      <c r="H48" s="3">
        <v>0.18803914901809199</v>
      </c>
      <c r="I48" s="3">
        <v>0.51835065235535105</v>
      </c>
      <c r="J48" s="3">
        <v>0.13260676467444599</v>
      </c>
      <c r="K48" s="2">
        <v>0.16044187378177199</v>
      </c>
      <c r="L48" s="3">
        <v>0.203087198185576</v>
      </c>
      <c r="M48" s="3">
        <v>0.47559736448388901</v>
      </c>
      <c r="N48" s="3">
        <v>0.16087356354876201</v>
      </c>
      <c r="O48" s="11">
        <f t="shared" si="8"/>
        <v>0.51835065235535105</v>
      </c>
      <c r="Q48">
        <f t="shared" si="50"/>
        <v>1</v>
      </c>
      <c r="R48" t="str" cm="1">
        <f t="array" ref="R48">_xlfn.IFS(S48=MAX(S48:V48),"road",T48=MAX(S48:V48),"safety",U48=MAX(S48:V48),"waste",V48=MAX(S48:V48),"water")</f>
        <v>waste</v>
      </c>
      <c r="S48" s="1">
        <f t="shared" si="69"/>
        <v>0.12611935659581872</v>
      </c>
      <c r="T48" s="1">
        <f t="shared" si="70"/>
        <v>0.13476139012963259</v>
      </c>
      <c r="U48" s="1">
        <f t="shared" si="71"/>
        <v>0.39740216680576912</v>
      </c>
      <c r="V48" s="1">
        <f t="shared" si="72"/>
        <v>9.7244960761260393E-2</v>
      </c>
      <c r="W48" s="1"/>
      <c r="X48" s="1">
        <f t="shared" si="73"/>
        <v>0.14172365517389859</v>
      </c>
      <c r="Y48" s="1">
        <f t="shared" si="74"/>
        <v>0.152315398639182</v>
      </c>
      <c r="Z48" s="1">
        <f t="shared" si="75"/>
        <v>0.31706490965592604</v>
      </c>
      <c r="AA48" s="1">
        <f t="shared" si="76"/>
        <v>0.11261149448413339</v>
      </c>
      <c r="AB48" s="8">
        <f t="shared" si="51"/>
        <v>1</v>
      </c>
      <c r="AC48" t="str" cm="1">
        <f t="array" ref="AC48">_xlfn.IFS(AD48=MAX(AD48:AG48),"road",AE48=MAX(AD48:AG48),"safety",AF48=MAX(AD48:AG48),"waste",AG48=MAX(AD48:AG48),"water")</f>
        <v>waste</v>
      </c>
      <c r="AD48" s="1">
        <f t="shared" ref="AD48:AD49" si="77">SUM(S48*Q111,X48)</f>
        <v>0.14172365517389859</v>
      </c>
      <c r="AE48" s="1">
        <f t="shared" si="53"/>
        <v>0.152315398639182</v>
      </c>
      <c r="AF48" s="1">
        <f t="shared" si="54"/>
        <v>0.31706490965592604</v>
      </c>
      <c r="AG48" s="1">
        <f t="shared" si="55"/>
        <v>0.11261149448413339</v>
      </c>
      <c r="AI48" s="8">
        <f t="shared" si="56"/>
        <v>1</v>
      </c>
      <c r="AJ48" t="str" cm="1">
        <f t="array" ref="AJ48">_xlfn.IFS(AK48=MAX(AK48:AN48),"road",AL48=MAX(AK48:AN48),"safety",AM48=MAX(AK48:AN48),"waste",AN48=MAX(AK48:AN48),"water")</f>
        <v>waste</v>
      </c>
      <c r="AK48" s="2">
        <f t="shared" si="61"/>
        <v>0.11560941021283382</v>
      </c>
      <c r="AL48" s="2">
        <f t="shared" si="62"/>
        <v>0.11679320477901492</v>
      </c>
      <c r="AM48" s="2">
        <f t="shared" si="63"/>
        <v>0.32454510289137811</v>
      </c>
      <c r="AN48" s="2">
        <f t="shared" si="64"/>
        <v>7.6175219262987301E-2</v>
      </c>
      <c r="AO48" s="8">
        <f t="shared" si="23"/>
        <v>1</v>
      </c>
      <c r="AP48" t="str" cm="1">
        <f t="array" ref="AP48">_xlfn.IFS(AQ48=MAX(AQ48:AT48),"road",AR48=MAX(AQ48:AT48),"safety",AS48=MAX(AQ48:AT48),"waste",AT48=MAX(AQ48:AT48),"water")</f>
        <v>waste</v>
      </c>
      <c r="AQ48" s="2">
        <f t="shared" si="65"/>
        <v>0.13227541149563868</v>
      </c>
      <c r="AR48" s="2">
        <f t="shared" si="66"/>
        <v>0.1370838587752638</v>
      </c>
      <c r="AS48" s="2">
        <f t="shared" si="67"/>
        <v>0.25893634288567291</v>
      </c>
      <c r="AT48" s="2">
        <f t="shared" si="68"/>
        <v>8.6335479104502261E-2</v>
      </c>
      <c r="AU48" s="2"/>
      <c r="AW48" s="10">
        <f t="shared" si="57"/>
        <v>1</v>
      </c>
      <c r="AX48" s="2">
        <f t="shared" si="58"/>
        <v>0.58348144577705097</v>
      </c>
      <c r="AY48" t="str" cm="1">
        <f t="array" ref="AY48">_xlfn.IFS(AZ48=MAX(AZ48:BC48),"road",BA48=MAX(AZ48:BC48),"safety",BB48=MAX(AZ48:BC48),"waste",BC48=MAX(AZ48:BC48),"water")</f>
        <v>waste</v>
      </c>
      <c r="AZ48" s="2">
        <f t="shared" si="28"/>
        <v>0.24788482170847248</v>
      </c>
      <c r="BA48" s="2">
        <f t="shared" si="29"/>
        <v>0.25387706355427875</v>
      </c>
      <c r="BB48" s="2">
        <f t="shared" si="30"/>
        <v>0.58348144577705097</v>
      </c>
      <c r="BC48" s="2">
        <f t="shared" si="31"/>
        <v>0.16251069836748955</v>
      </c>
      <c r="BD48" s="2"/>
      <c r="BF48" s="2">
        <f t="shared" si="32"/>
        <v>0.32144530773388102</v>
      </c>
      <c r="BG48" s="2">
        <f t="shared" si="33"/>
        <v>0.39112634720366801</v>
      </c>
      <c r="BH48" s="2">
        <f t="shared" si="34"/>
        <v>0.99394801683924006</v>
      </c>
      <c r="BI48" s="2">
        <f t="shared" si="35"/>
        <v>0.29348032822320802</v>
      </c>
      <c r="BK48" s="7" t="e">
        <f t="shared" si="59"/>
        <v>#N/A</v>
      </c>
      <c r="BL48" t="e" cm="1">
        <f t="array" ref="BL48">_xlfn.IFS(BO48=MAX(BO48:BV48),"road",BR48=MAX(BO48:BV48),"water",BT48=MAX(BO48:BV48),"safety",BU48=MAX(BO48:BV48),"waste",BV48=MAX(BO48:BV48),"water")</f>
        <v>#N/A</v>
      </c>
      <c r="BM48">
        <f t="shared" si="60"/>
        <v>1</v>
      </c>
      <c r="BN48" t="str" cm="1">
        <f t="array" ref="BN48">_xlfn.IFS(BO48=MAX(BO48:BR48),"road",BP48=MAX(BO48:BR48),"safety",BQ48=MAX(BO48:BR48),"waste",BR48=MAX(BO48:BR48),"water")</f>
        <v>waste</v>
      </c>
      <c r="BO48" s="1">
        <f t="shared" si="36"/>
        <v>1.4861855441733138</v>
      </c>
      <c r="BP48" s="1">
        <f t="shared" si="37"/>
        <v>1.3273351695394728</v>
      </c>
      <c r="BQ48" s="1">
        <f t="shared" si="38"/>
        <v>4.443005591617295</v>
      </c>
      <c r="BR48" s="1">
        <f t="shared" si="39"/>
        <v>0.9945507350583449</v>
      </c>
      <c r="BS48" s="1">
        <f t="shared" si="40"/>
        <v>1.3752160609866171</v>
      </c>
      <c r="BT48" s="1">
        <f t="shared" si="41"/>
        <v>0.81234879274230398</v>
      </c>
      <c r="BU48" s="1">
        <f t="shared" si="42"/>
        <v>1.4267920934516671</v>
      </c>
      <c r="BV48" s="1">
        <f t="shared" si="43"/>
        <v>0.5362452118292067</v>
      </c>
      <c r="BX48" s="1"/>
      <c r="BY48" s="1"/>
      <c r="BZ48" s="1"/>
      <c r="CA48" s="1"/>
    </row>
    <row r="49" spans="1:79" x14ac:dyDescent="0.25">
      <c r="A49" t="s">
        <v>64</v>
      </c>
      <c r="B49" s="6" t="s">
        <v>17</v>
      </c>
      <c r="C49" t="s">
        <v>24</v>
      </c>
      <c r="D49" t="s">
        <v>15</v>
      </c>
      <c r="E49" t="s">
        <v>24</v>
      </c>
      <c r="F49" t="s">
        <v>17</v>
      </c>
      <c r="G49" s="3">
        <v>0.232686970582517</v>
      </c>
      <c r="H49" s="3">
        <v>0.30079248446676199</v>
      </c>
      <c r="I49" s="3">
        <v>0.26603790964665203</v>
      </c>
      <c r="J49" s="3">
        <v>0.20048263530406699</v>
      </c>
      <c r="K49" s="3">
        <v>0.21342429449247599</v>
      </c>
      <c r="L49" s="3">
        <v>0.28209728357321801</v>
      </c>
      <c r="M49" s="3">
        <v>0.289896767284123</v>
      </c>
      <c r="N49" s="3">
        <v>0.21458165465018</v>
      </c>
      <c r="O49" s="11">
        <f t="shared" si="8"/>
        <v>0.30079248446676199</v>
      </c>
      <c r="Q49">
        <f t="shared" si="50"/>
        <v>0</v>
      </c>
      <c r="R49" t="str" cm="1">
        <f t="array" ref="R49">_xlfn.IFS(S49=MAX(S49:V49),"road",T49=MAX(S49:V49),"safety",U49=MAX(S49:V49),"waste",V49=MAX(S49:V49),"water")</f>
        <v>safety</v>
      </c>
      <c r="S49" s="1">
        <f t="shared" si="69"/>
        <v>0.18227146028963831</v>
      </c>
      <c r="T49" s="1">
        <f t="shared" si="70"/>
        <v>0.21556794720117942</v>
      </c>
      <c r="U49" s="1">
        <f t="shared" si="71"/>
        <v>0.20396239739576655</v>
      </c>
      <c r="V49" s="1">
        <f t="shared" si="72"/>
        <v>0.14702059922298247</v>
      </c>
      <c r="W49" s="1"/>
      <c r="X49" s="1">
        <f t="shared" si="73"/>
        <v>0.1885247934683538</v>
      </c>
      <c r="Y49" s="1">
        <f t="shared" si="74"/>
        <v>0.21157296267991349</v>
      </c>
      <c r="Z49" s="1">
        <f t="shared" si="75"/>
        <v>0.19326451152274868</v>
      </c>
      <c r="AA49" s="1">
        <f t="shared" si="76"/>
        <v>0.15020715825512598</v>
      </c>
      <c r="AB49" s="8">
        <f t="shared" si="51"/>
        <v>0</v>
      </c>
      <c r="AC49" t="str" cm="1">
        <f t="array" ref="AC49">_xlfn.IFS(AD49=MAX(AD49:AG49),"road",AE49=MAX(AD49:AG49),"safety",AF49=MAX(AD49:AG49),"waste",AG49=MAX(AD49:AG49),"water")</f>
        <v>safety</v>
      </c>
      <c r="AD49" s="1">
        <f t="shared" si="77"/>
        <v>0.1885247934683538</v>
      </c>
      <c r="AE49" s="1">
        <f t="shared" si="53"/>
        <v>0.21157296267991349</v>
      </c>
      <c r="AF49" s="1">
        <f t="shared" si="54"/>
        <v>0.19326451152274868</v>
      </c>
      <c r="AG49" s="1">
        <f t="shared" si="55"/>
        <v>0.15020715825512598</v>
      </c>
      <c r="AI49" s="8">
        <f t="shared" si="56"/>
        <v>0</v>
      </c>
      <c r="AJ49" t="str" cm="1">
        <f t="array" ref="AJ49">_xlfn.IFS(AK49=MAX(AK49:AN49),"road",AL49=MAX(AK49:AN49),"safety",AM49=MAX(AK49:AN49),"waste",AN49=MAX(AK49:AN49),"water")</f>
        <v>safety</v>
      </c>
      <c r="AK49" s="2">
        <f t="shared" si="61"/>
        <v>0.16708217193216846</v>
      </c>
      <c r="AL49" s="2">
        <f t="shared" si="62"/>
        <v>0.18682555424102218</v>
      </c>
      <c r="AM49" s="2">
        <f t="shared" si="63"/>
        <v>0.16656929120654268</v>
      </c>
      <c r="AN49" s="2">
        <f t="shared" si="64"/>
        <v>0.11516613605800294</v>
      </c>
      <c r="AO49" s="8">
        <f t="shared" si="23"/>
        <v>0</v>
      </c>
      <c r="AP49" t="str" cm="1">
        <f t="array" ref="AP49">_xlfn.IFS(AQ49=MAX(AQ49:AT49),"road",AR49=MAX(AQ49:AT49),"safety",AS49=MAX(AQ49:AT49),"waste",AT49=MAX(AQ49:AT49),"water")</f>
        <v>safety</v>
      </c>
      <c r="AQ49" s="2">
        <f t="shared" si="65"/>
        <v>0.17595647390379687</v>
      </c>
      <c r="AR49" s="2">
        <f t="shared" si="66"/>
        <v>0.19041566641192215</v>
      </c>
      <c r="AS49" s="2">
        <f t="shared" si="67"/>
        <v>0.15783268441024476</v>
      </c>
      <c r="AT49" s="2">
        <f t="shared" si="68"/>
        <v>0.11515882132892991</v>
      </c>
      <c r="AU49" s="2"/>
      <c r="AW49" s="10">
        <f t="shared" si="57"/>
        <v>0</v>
      </c>
      <c r="AX49" s="2">
        <f t="shared" si="58"/>
        <v>0.3772412206529443</v>
      </c>
      <c r="AY49" t="str" cm="1">
        <f t="array" ref="AY49">_xlfn.IFS(AZ49=MAX(AZ49:BC49),"road",BA49=MAX(AZ49:BC49),"safety",BB49=MAX(AZ49:BC49),"waste",BC49=MAX(AZ49:BC49),"water")</f>
        <v>safety</v>
      </c>
      <c r="AZ49" s="2">
        <f t="shared" si="28"/>
        <v>0.34303864583596533</v>
      </c>
      <c r="BA49" s="2">
        <f t="shared" si="29"/>
        <v>0.3772412206529443</v>
      </c>
      <c r="BB49" s="2">
        <f t="shared" si="30"/>
        <v>0.32440197561678741</v>
      </c>
      <c r="BC49" s="2">
        <f t="shared" si="31"/>
        <v>0.23032495738693284</v>
      </c>
      <c r="BD49" s="2"/>
      <c r="BF49" s="2">
        <f t="shared" si="32"/>
        <v>0.44611126507499299</v>
      </c>
      <c r="BG49" s="2">
        <f t="shared" si="33"/>
        <v>0.58288976803998005</v>
      </c>
      <c r="BH49" s="2">
        <f t="shared" si="34"/>
        <v>0.55593467693077503</v>
      </c>
      <c r="BI49" s="2">
        <f t="shared" si="35"/>
        <v>0.41506428995424699</v>
      </c>
      <c r="BK49" s="7" t="e">
        <f t="shared" si="59"/>
        <v>#N/A</v>
      </c>
      <c r="BL49" t="e" cm="1">
        <f t="array" ref="BL49">_xlfn.IFS(BO49=MAX(BO49:BV49),"road",BR49=MAX(BO49:BV49),"water",BT49=MAX(BO49:BV49),"safety",BU49=MAX(BO49:BV49),"waste",BV49=MAX(BO49:BV49),"water")</f>
        <v>#N/A</v>
      </c>
      <c r="BM49">
        <f t="shared" si="60"/>
        <v>1</v>
      </c>
      <c r="BN49" t="str" cm="1">
        <f t="array" ref="BN49">_xlfn.IFS(BO49=MAX(BO49:BR49),"road",BP49=MAX(BO49:BR49),"safety",BQ49=MAX(BO49:BR49),"waste",BR49=MAX(BO49:BR49),"water")</f>
        <v>waste</v>
      </c>
      <c r="BO49" s="1">
        <f t="shared" si="36"/>
        <v>2.147879728454003</v>
      </c>
      <c r="BP49" s="1">
        <f t="shared" si="37"/>
        <v>2.1232410668242023</v>
      </c>
      <c r="BQ49" s="1">
        <f t="shared" si="38"/>
        <v>2.280324939828446</v>
      </c>
      <c r="BR49" s="1">
        <f t="shared" si="39"/>
        <v>1.5036197647805025</v>
      </c>
      <c r="BS49" s="1">
        <f t="shared" si="40"/>
        <v>1.8293510956497943</v>
      </c>
      <c r="BT49" s="1">
        <f t="shared" si="41"/>
        <v>1.128389134292872</v>
      </c>
      <c r="BU49" s="1">
        <f t="shared" si="42"/>
        <v>0.86969030185236906</v>
      </c>
      <c r="BV49" s="1">
        <f t="shared" si="43"/>
        <v>0.71527218216726673</v>
      </c>
      <c r="BX49" s="1"/>
      <c r="BY49" s="1"/>
      <c r="BZ49" s="1"/>
      <c r="CA49" s="1"/>
    </row>
    <row r="50" spans="1:79" x14ac:dyDescent="0.25">
      <c r="A50" t="s">
        <v>65</v>
      </c>
      <c r="B50" s="6" t="s">
        <v>17</v>
      </c>
      <c r="C50" t="s">
        <v>17</v>
      </c>
      <c r="D50" t="s">
        <v>15</v>
      </c>
      <c r="E50" t="s">
        <v>17</v>
      </c>
      <c r="F50" t="s">
        <v>17</v>
      </c>
      <c r="G50" s="3">
        <v>0.21669538043119599</v>
      </c>
      <c r="H50" s="3">
        <v>0.21786182146861899</v>
      </c>
      <c r="I50" s="3">
        <v>0.36140655930986298</v>
      </c>
      <c r="J50" s="3">
        <v>0.20403623879031901</v>
      </c>
      <c r="K50" s="3">
        <v>0.19584474926527401</v>
      </c>
      <c r="L50" s="3">
        <v>0.19741274515045101</v>
      </c>
      <c r="M50" s="3">
        <v>0.37381629556212698</v>
      </c>
      <c r="N50" s="3">
        <v>0.232926210022146</v>
      </c>
      <c r="O50" s="11">
        <f t="shared" si="8"/>
        <v>0.36140655930986298</v>
      </c>
      <c r="Q50">
        <f t="shared" si="50"/>
        <v>1</v>
      </c>
      <c r="R50" t="str" cm="1">
        <f t="array" ref="R50">_xlfn.IFS(S50=MAX(S50:V50),"road",T50=MAX(S50:V50),"safety",U50=MAX(S50:V50),"waste",V50=MAX(S50:V50),"water")</f>
        <v>waste</v>
      </c>
      <c r="S50" s="1">
        <f t="shared" si="69"/>
        <v>0.16974471467110352</v>
      </c>
      <c r="T50" s="1">
        <f t="shared" si="70"/>
        <v>0.15613430538584361</v>
      </c>
      <c r="U50" s="1">
        <f t="shared" si="71"/>
        <v>0.2770783621375616</v>
      </c>
      <c r="V50" s="1">
        <f t="shared" si="72"/>
        <v>0.14962657511290062</v>
      </c>
      <c r="W50" s="1"/>
      <c r="X50" s="1">
        <f t="shared" si="73"/>
        <v>0.17299619518432538</v>
      </c>
      <c r="Y50" s="1">
        <f t="shared" si="74"/>
        <v>0.14805955886283825</v>
      </c>
      <c r="Z50" s="1">
        <f t="shared" si="75"/>
        <v>0.24921086370808468</v>
      </c>
      <c r="AA50" s="1">
        <f t="shared" si="76"/>
        <v>0.16304834701550219</v>
      </c>
      <c r="AB50" s="8">
        <f t="shared" si="51"/>
        <v>1</v>
      </c>
      <c r="AC50" t="str" cm="1">
        <f t="array" ref="AC50">_xlfn.IFS(AD50=MAX(AD50:AG50),"road",AE50=MAX(AD50:AG50),"safety",AF50=MAX(AD50:AG50),"waste",AG50=MAX(AD50:AG50),"water")</f>
        <v>waste</v>
      </c>
      <c r="AD50" s="1">
        <f>SUM(S50*Q113,X50)</f>
        <v>0.17299619518432538</v>
      </c>
      <c r="AE50" s="1">
        <f t="shared" si="53"/>
        <v>0.14805955886283825</v>
      </c>
      <c r="AF50" s="1">
        <f t="shared" si="54"/>
        <v>0.24921086370808468</v>
      </c>
      <c r="AG50" s="1">
        <f t="shared" si="55"/>
        <v>0.16304834701550219</v>
      </c>
      <c r="AI50" s="8">
        <f t="shared" si="56"/>
        <v>1</v>
      </c>
      <c r="AJ50" t="str" cm="1">
        <f t="array" ref="AJ50">_xlfn.IFS(AK50=MAX(AK50:AN50),"road",AL50=MAX(AK50:AN50),"safety",AM50=MAX(AK50:AN50),"waste",AN50=MAX(AK50:AN50),"water")</f>
        <v>waste</v>
      </c>
      <c r="AK50" s="2">
        <f t="shared" si="61"/>
        <v>0.15559932178184488</v>
      </c>
      <c r="AL50" s="2">
        <f t="shared" si="62"/>
        <v>0.13531639800106446</v>
      </c>
      <c r="AM50" s="2">
        <f t="shared" si="63"/>
        <v>0.22628066241234196</v>
      </c>
      <c r="AN50" s="2">
        <f t="shared" si="64"/>
        <v>0.11720748383843882</v>
      </c>
      <c r="AO50" s="8">
        <f t="shared" si="23"/>
        <v>1</v>
      </c>
      <c r="AP50" t="str" cm="1">
        <f t="array" ref="AP50">_xlfn.IFS(AQ50=MAX(AQ50:AT50),"road",AR50=MAX(AQ50:AT50),"safety",AS50=MAX(AQ50:AT50),"waste",AT50=MAX(AQ50:AT50),"water")</f>
        <v>waste</v>
      </c>
      <c r="AQ50" s="2">
        <f t="shared" si="65"/>
        <v>0.16146311550537035</v>
      </c>
      <c r="AR50" s="2">
        <f t="shared" si="66"/>
        <v>0.13325360297655442</v>
      </c>
      <c r="AS50" s="2">
        <f t="shared" si="67"/>
        <v>0.20352220536160248</v>
      </c>
      <c r="AT50" s="2">
        <f t="shared" si="68"/>
        <v>0.125003732711885</v>
      </c>
      <c r="AU50" s="2"/>
      <c r="AW50" s="10">
        <f t="shared" si="57"/>
        <v>1</v>
      </c>
      <c r="AX50" s="2">
        <f t="shared" si="58"/>
        <v>0.42980286777394444</v>
      </c>
      <c r="AY50" t="str" cm="1">
        <f t="array" ref="AY50">_xlfn.IFS(AZ50=MAX(AZ50:BC50),"road",BA50=MAX(AZ50:BC50),"safety",BB50=MAX(AZ50:BC50),"waste",BC50=MAX(AZ50:BC50),"water")</f>
        <v>waste</v>
      </c>
      <c r="AZ50" s="2">
        <f t="shared" si="28"/>
        <v>0.31706243728721523</v>
      </c>
      <c r="BA50" s="2">
        <f t="shared" si="29"/>
        <v>0.26857000097761885</v>
      </c>
      <c r="BB50" s="2">
        <f t="shared" si="30"/>
        <v>0.42980286777394444</v>
      </c>
      <c r="BC50" s="2">
        <f t="shared" si="31"/>
        <v>0.24221121655032382</v>
      </c>
      <c r="BD50" s="2"/>
      <c r="BF50" s="2">
        <f t="shared" si="32"/>
        <v>0.41254012969647003</v>
      </c>
      <c r="BG50" s="2">
        <f t="shared" si="33"/>
        <v>0.41527456661907003</v>
      </c>
      <c r="BH50" s="2">
        <f t="shared" si="34"/>
        <v>0.73522285487198991</v>
      </c>
      <c r="BI50" s="2">
        <f t="shared" si="35"/>
        <v>0.43696244881246504</v>
      </c>
      <c r="BK50" s="7" t="e">
        <f t="shared" si="59"/>
        <v>#N/A</v>
      </c>
      <c r="BL50" t="e" cm="1">
        <f t="array" ref="BL50">_xlfn.IFS(BO50=MAX(BO50:BV50),"road",BR50=MAX(BO50:BV50),"water",BT50=MAX(BO50:BV50),"safety",BU50=MAX(BO50:BV50),"waste",BV50=MAX(BO50:BV50),"water")</f>
        <v>#N/A</v>
      </c>
      <c r="BM50">
        <f t="shared" si="60"/>
        <v>1</v>
      </c>
      <c r="BN50" t="str" cm="1">
        <f t="array" ref="BN50">_xlfn.IFS(BO50=MAX(BO50:BR50),"road",BP50=MAX(BO50:BR50),"safety",BQ50=MAX(BO50:BR50),"waste",BR50=MAX(BO50:BR50),"water")</f>
        <v>waste</v>
      </c>
      <c r="BO50" s="1">
        <f t="shared" si="36"/>
        <v>2.0002650501341166</v>
      </c>
      <c r="BP50" s="1">
        <f t="shared" si="37"/>
        <v>1.537848151543193</v>
      </c>
      <c r="BQ50" s="1">
        <f t="shared" si="38"/>
        <v>3.097770508370254</v>
      </c>
      <c r="BR50" s="1">
        <f t="shared" si="39"/>
        <v>1.5302717909273926</v>
      </c>
      <c r="BS50" s="1">
        <f t="shared" si="40"/>
        <v>1.6786692794166342</v>
      </c>
      <c r="BT50" s="1">
        <f t="shared" si="41"/>
        <v>0.78965098060180405</v>
      </c>
      <c r="BU50" s="1">
        <f t="shared" si="42"/>
        <v>1.121448886686381</v>
      </c>
      <c r="BV50" s="1">
        <f t="shared" si="43"/>
        <v>0.77642070007382002</v>
      </c>
      <c r="BX50" s="1"/>
      <c r="BY50" s="1"/>
      <c r="BZ50" s="1"/>
      <c r="CA50" s="1"/>
    </row>
    <row r="51" spans="1:79" x14ac:dyDescent="0.25">
      <c r="A51" t="s">
        <v>66</v>
      </c>
      <c r="B51" s="6" t="s">
        <v>17</v>
      </c>
      <c r="C51" t="s">
        <v>24</v>
      </c>
      <c r="D51" t="s">
        <v>15</v>
      </c>
      <c r="E51" t="s">
        <v>24</v>
      </c>
      <c r="F51" t="s">
        <v>24</v>
      </c>
      <c r="G51" s="3">
        <v>0.27188715125990598</v>
      </c>
      <c r="H51" s="3">
        <v>0.273074474289005</v>
      </c>
      <c r="I51" s="3">
        <v>0.25440155859362201</v>
      </c>
      <c r="J51" s="3">
        <v>0.20063681585746501</v>
      </c>
      <c r="K51" s="3">
        <v>0.24768385835068299</v>
      </c>
      <c r="L51" s="3">
        <v>0.26909332104175598</v>
      </c>
      <c r="M51" s="3">
        <v>0.26327064599126798</v>
      </c>
      <c r="N51" s="3">
        <v>0.21995217461629199</v>
      </c>
      <c r="O51" s="11">
        <f t="shared" si="8"/>
        <v>0.273074474289005</v>
      </c>
      <c r="Q51">
        <f t="shared" si="50"/>
        <v>0</v>
      </c>
      <c r="R51" t="str" cm="1">
        <f t="array" ref="R51">_xlfn.IFS(S51=MAX(S51:V51),"road",T51=MAX(S51:V51),"safety",U51=MAX(S51:V51),"waste",V51=MAX(S51:V51),"water")</f>
        <v>road</v>
      </c>
      <c r="S51" s="1">
        <f t="shared" si="69"/>
        <v>0.21297826848692636</v>
      </c>
      <c r="T51" s="1">
        <f t="shared" si="70"/>
        <v>0.19570337324045359</v>
      </c>
      <c r="U51" s="1">
        <f t="shared" si="71"/>
        <v>0.19504119492177685</v>
      </c>
      <c r="V51" s="1">
        <f t="shared" si="72"/>
        <v>0.14713366496214103</v>
      </c>
      <c r="W51" s="1"/>
      <c r="X51" s="1">
        <f t="shared" si="73"/>
        <v>0.21878740820976997</v>
      </c>
      <c r="Y51" s="1">
        <f t="shared" si="74"/>
        <v>0.20181999078131699</v>
      </c>
      <c r="Z51" s="1">
        <f t="shared" si="75"/>
        <v>0.17551376399417867</v>
      </c>
      <c r="AA51" s="1">
        <f t="shared" si="76"/>
        <v>0.15396652223140439</v>
      </c>
      <c r="AB51" s="8">
        <f t="shared" si="51"/>
        <v>0</v>
      </c>
      <c r="AC51" t="str" cm="1">
        <f t="array" ref="AC51">_xlfn.IFS(AD51=MAX(AD51:AG51),"road",AE51=MAX(AD51:AG51),"safety",AF51=MAX(AD51:AG51),"waste",AG51=MAX(AD51:AG51),"water")</f>
        <v>road</v>
      </c>
      <c r="AD51" s="1">
        <f t="shared" ref="AD51:AD60" si="78">SUM(S51*Q114,X51)</f>
        <v>0.21878740820976997</v>
      </c>
      <c r="AE51" s="1">
        <f t="shared" si="53"/>
        <v>0.20181999078131699</v>
      </c>
      <c r="AF51" s="1">
        <f t="shared" si="54"/>
        <v>0.17551376399417867</v>
      </c>
      <c r="AG51" s="1">
        <f t="shared" si="55"/>
        <v>0.15396652223140439</v>
      </c>
      <c r="AI51" s="8">
        <f t="shared" si="56"/>
        <v>0</v>
      </c>
      <c r="AJ51" t="str" cm="1">
        <f t="array" ref="AJ51">_xlfn.IFS(AK51=MAX(AK51:AN51),"road",AL51=MAX(AK51:AN51),"safety",AM51=MAX(AK51:AN51),"waste",AN51=MAX(AK51:AN51),"water")</f>
        <v>road</v>
      </c>
      <c r="AK51" s="2">
        <f t="shared" si="61"/>
        <v>0.19523007944634915</v>
      </c>
      <c r="AL51" s="2">
        <f t="shared" si="62"/>
        <v>0.16960959014172644</v>
      </c>
      <c r="AM51" s="2">
        <f t="shared" si="63"/>
        <v>0.1592836425194511</v>
      </c>
      <c r="AN51" s="2">
        <f t="shared" si="64"/>
        <v>0.11525470422034381</v>
      </c>
      <c r="AO51" s="8">
        <f t="shared" si="23"/>
        <v>0</v>
      </c>
      <c r="AP51" t="str" cm="1">
        <f t="array" ref="AP51">_xlfn.IFS(AQ51=MAX(AQ51:AT51),"road",AR51=MAX(AQ51:AT51),"safety",AS51=MAX(AQ51:AT51),"waste",AT51=MAX(AQ51:AT51),"water")</f>
        <v>road</v>
      </c>
      <c r="AQ51" s="2">
        <f t="shared" si="65"/>
        <v>0.20420158099578531</v>
      </c>
      <c r="AR51" s="2">
        <f t="shared" si="66"/>
        <v>0.18163799170318529</v>
      </c>
      <c r="AS51" s="2">
        <f t="shared" si="67"/>
        <v>0.14333624059524591</v>
      </c>
      <c r="AT51" s="2">
        <f t="shared" si="68"/>
        <v>0.11804100037741003</v>
      </c>
      <c r="AU51" s="2"/>
      <c r="AW51" s="10">
        <f t="shared" si="57"/>
        <v>0</v>
      </c>
      <c r="AX51" s="2">
        <f t="shared" si="58"/>
        <v>0.39943166044213446</v>
      </c>
      <c r="AY51" t="str" cm="1">
        <f t="array" ref="AY51">_xlfn.IFS(AZ51=MAX(AZ51:BC51),"road",BA51=MAX(AZ51:BC51),"safety",BB51=MAX(AZ51:BC51),"waste",BC51=MAX(AZ51:BC51),"water")</f>
        <v>road</v>
      </c>
      <c r="AZ51" s="2">
        <f t="shared" si="28"/>
        <v>0.39943166044213446</v>
      </c>
      <c r="BA51" s="2">
        <f t="shared" si="29"/>
        <v>0.35124758184491173</v>
      </c>
      <c r="BB51" s="2">
        <f t="shared" si="30"/>
        <v>0.30261988311469701</v>
      </c>
      <c r="BC51" s="2">
        <f t="shared" si="31"/>
        <v>0.23329570459775384</v>
      </c>
      <c r="BD51" s="2"/>
      <c r="BF51" s="2">
        <f t="shared" si="32"/>
        <v>0.519571009610589</v>
      </c>
      <c r="BG51" s="2">
        <f t="shared" si="33"/>
        <v>0.54216779533076098</v>
      </c>
      <c r="BH51" s="2">
        <f t="shared" si="34"/>
        <v>0.51767220458489005</v>
      </c>
      <c r="BI51" s="2">
        <f t="shared" si="35"/>
        <v>0.42058899047375697</v>
      </c>
      <c r="BK51" s="7">
        <f t="shared" si="59"/>
        <v>0</v>
      </c>
      <c r="BL51" t="str" cm="1">
        <f t="array" ref="BL51">_xlfn.IFS(BO51=MAX(BO51:BV51),"road",BR51=MAX(BO51:BV51),"water",BT51=MAX(BO51:BV51),"safety",BU51=MAX(BO51:BV51),"waste",BV51=MAX(BO51:BV51),"water")</f>
        <v>road</v>
      </c>
      <c r="BM51">
        <f t="shared" si="60"/>
        <v>0</v>
      </c>
      <c r="BN51" t="str" cm="1">
        <f t="array" ref="BN51">_xlfn.IFS(BO51=MAX(BO51:BR51),"road",BP51=MAX(BO51:BR51),"safety",BQ51=MAX(BO51:BR51),"waste",BR51=MAX(BO51:BR51),"water")</f>
        <v>road</v>
      </c>
      <c r="BO51" s="1">
        <f t="shared" si="36"/>
        <v>2.5097275500914398</v>
      </c>
      <c r="BP51" s="1">
        <f t="shared" si="37"/>
        <v>1.9275845243929766</v>
      </c>
      <c r="BQ51" s="1">
        <f t="shared" si="38"/>
        <v>2.1805847879453313</v>
      </c>
      <c r="BR51" s="1">
        <f t="shared" si="39"/>
        <v>1.5047761189309876</v>
      </c>
      <c r="BS51" s="1">
        <f t="shared" si="40"/>
        <v>2.1230045001487112</v>
      </c>
      <c r="BT51" s="1">
        <f t="shared" si="41"/>
        <v>1.0763732841670239</v>
      </c>
      <c r="BU51" s="1">
        <f t="shared" si="42"/>
        <v>0.789811937973804</v>
      </c>
      <c r="BV51" s="1">
        <f t="shared" si="43"/>
        <v>0.73317391538763999</v>
      </c>
      <c r="BX51" s="1"/>
      <c r="BY51" s="1"/>
      <c r="BZ51" s="1"/>
      <c r="CA51" s="1"/>
    </row>
    <row r="52" spans="1:79" x14ac:dyDescent="0.25">
      <c r="A52" t="s">
        <v>67</v>
      </c>
      <c r="B52" s="6" t="s">
        <v>17</v>
      </c>
      <c r="C52" t="s">
        <v>17</v>
      </c>
      <c r="D52" t="s">
        <v>15</v>
      </c>
      <c r="E52" t="s">
        <v>17</v>
      </c>
      <c r="F52" t="s">
        <v>17</v>
      </c>
      <c r="G52" s="3">
        <v>0.22934340258532501</v>
      </c>
      <c r="H52" s="3">
        <v>0.22755456856150699</v>
      </c>
      <c r="I52" s="3">
        <v>0.33117498463170397</v>
      </c>
      <c r="J52" s="3">
        <v>0.211927044221462</v>
      </c>
      <c r="K52" s="3">
        <v>0.20215882832613999</v>
      </c>
      <c r="L52" s="3">
        <v>0.20378327399775201</v>
      </c>
      <c r="M52" s="3">
        <v>0.35055099431977499</v>
      </c>
      <c r="N52" s="3">
        <v>0.24350690335633099</v>
      </c>
      <c r="O52" s="11">
        <f t="shared" si="8"/>
        <v>0.33117498463170397</v>
      </c>
      <c r="Q52">
        <f t="shared" si="50"/>
        <v>1</v>
      </c>
      <c r="R52" t="str" cm="1">
        <f t="array" ref="R52">_xlfn.IFS(S52=MAX(S52:V52),"road",T52=MAX(S52:V52),"safety",U52=MAX(S52:V52),"waste",V52=MAX(S52:V52),"water")</f>
        <v>waste</v>
      </c>
      <c r="S52" s="1">
        <f t="shared" si="69"/>
        <v>0.17965233202517125</v>
      </c>
      <c r="T52" s="1">
        <f t="shared" si="70"/>
        <v>0.16308077413574668</v>
      </c>
      <c r="U52" s="1">
        <f t="shared" si="71"/>
        <v>0.25390082155097304</v>
      </c>
      <c r="V52" s="1">
        <f t="shared" si="72"/>
        <v>0.15541316576240546</v>
      </c>
      <c r="W52" s="1"/>
      <c r="X52" s="1">
        <f t="shared" si="73"/>
        <v>0.17857363168809032</v>
      </c>
      <c r="Y52" s="1">
        <f t="shared" si="74"/>
        <v>0.15283745549831401</v>
      </c>
      <c r="Z52" s="1">
        <f t="shared" si="75"/>
        <v>0.23370066287985003</v>
      </c>
      <c r="AA52" s="1">
        <f t="shared" si="76"/>
        <v>0.17045483234943168</v>
      </c>
      <c r="AB52" s="8">
        <f t="shared" si="51"/>
        <v>1</v>
      </c>
      <c r="AC52" t="str" cm="1">
        <f t="array" ref="AC52">_xlfn.IFS(AD52=MAX(AD52:AG52),"road",AE52=MAX(AD52:AG52),"safety",AF52=MAX(AD52:AG52),"waste",AG52=MAX(AD52:AG52),"water")</f>
        <v>waste</v>
      </c>
      <c r="AD52" s="1">
        <f t="shared" si="78"/>
        <v>0.17857363168809032</v>
      </c>
      <c r="AE52" s="1">
        <f t="shared" si="53"/>
        <v>0.15283745549831401</v>
      </c>
      <c r="AF52" s="1">
        <f t="shared" si="54"/>
        <v>0.23370066287985003</v>
      </c>
      <c r="AG52" s="1">
        <f t="shared" si="55"/>
        <v>0.17045483234943168</v>
      </c>
      <c r="AI52" s="8">
        <f t="shared" si="56"/>
        <v>1</v>
      </c>
      <c r="AJ52" t="str" cm="1">
        <f t="array" ref="AJ52">_xlfn.IFS(AK52=MAX(AK52:AN52),"road",AL52=MAX(AK52:AN52),"safety",AM52=MAX(AK52:AN52),"waste",AN52=MAX(AK52:AN52),"water")</f>
        <v>waste</v>
      </c>
      <c r="AK52" s="2">
        <f t="shared" si="61"/>
        <v>0.16468130435640699</v>
      </c>
      <c r="AL52" s="2">
        <f t="shared" si="62"/>
        <v>0.14133667091764712</v>
      </c>
      <c r="AM52" s="2">
        <f t="shared" si="63"/>
        <v>0.20735233759996133</v>
      </c>
      <c r="AN52" s="2">
        <f t="shared" si="64"/>
        <v>0.12174031318055095</v>
      </c>
      <c r="AO52" s="8">
        <f t="shared" si="23"/>
        <v>1</v>
      </c>
      <c r="AP52" t="str" cm="1">
        <f t="array" ref="AP52">_xlfn.IFS(AQ52=MAX(AQ52:AT52),"road",AR52=MAX(AQ52:AT52),"safety",AS52=MAX(AQ52:AT52),"waste",AT52=MAX(AQ52:AT52),"water")</f>
        <v>waste</v>
      </c>
      <c r="AQ52" s="2">
        <f t="shared" si="65"/>
        <v>0.16666872290888429</v>
      </c>
      <c r="AR52" s="2">
        <f t="shared" si="66"/>
        <v>0.13755370994848262</v>
      </c>
      <c r="AS52" s="2">
        <f t="shared" si="67"/>
        <v>0.19085554135187752</v>
      </c>
      <c r="AT52" s="2">
        <f t="shared" si="68"/>
        <v>0.13068203813456428</v>
      </c>
      <c r="AU52" s="2"/>
      <c r="AW52" s="10">
        <f t="shared" si="57"/>
        <v>1</v>
      </c>
      <c r="AX52" s="2">
        <f t="shared" si="58"/>
        <v>0.39820787895183885</v>
      </c>
      <c r="AY52" t="str" cm="1">
        <f t="array" ref="AY52">_xlfn.IFS(AZ52=MAX(AZ52:BC52),"road",BA52=MAX(AZ52:BC52),"safety",BB52=MAX(AZ52:BC52),"waste",BC52=MAX(AZ52:BC52),"water")</f>
        <v>waste</v>
      </c>
      <c r="AZ52" s="2">
        <f t="shared" si="28"/>
        <v>0.33135002726529128</v>
      </c>
      <c r="BA52" s="2">
        <f t="shared" si="29"/>
        <v>0.27889038086612972</v>
      </c>
      <c r="BB52" s="2">
        <f t="shared" si="30"/>
        <v>0.39820787895183885</v>
      </c>
      <c r="BC52" s="2">
        <f t="shared" si="31"/>
        <v>0.25242235131511526</v>
      </c>
      <c r="BD52" s="2"/>
      <c r="BF52" s="2">
        <f t="shared" si="32"/>
        <v>0.431502230911465</v>
      </c>
      <c r="BG52" s="2">
        <f t="shared" si="33"/>
        <v>0.431337842559259</v>
      </c>
      <c r="BH52" s="2">
        <f t="shared" si="34"/>
        <v>0.68172597895147891</v>
      </c>
      <c r="BI52" s="2">
        <f t="shared" si="35"/>
        <v>0.45543394757779299</v>
      </c>
      <c r="BK52" s="7" t="e">
        <f t="shared" si="59"/>
        <v>#N/A</v>
      </c>
      <c r="BL52" t="e" cm="1">
        <f t="array" ref="BL52">_xlfn.IFS(BO52=MAX(BO52:BV52),"road",BR52=MAX(BO52:BV52),"water",BT52=MAX(BO52:BV52),"safety",BU52=MAX(BO52:BV52),"waste",BV52=MAX(BO52:BV52),"water")</f>
        <v>#N/A</v>
      </c>
      <c r="BM52">
        <f t="shared" si="60"/>
        <v>1</v>
      </c>
      <c r="BN52" t="str" cm="1">
        <f t="array" ref="BN52">_xlfn.IFS(BO52=MAX(BO52:BR52),"road",BP52=MAX(BO52:BR52),"safety",BQ52=MAX(BO52:BR52),"waste",BR52=MAX(BO52:BR52),"water")</f>
        <v>waste</v>
      </c>
      <c r="BO52" s="1">
        <f t="shared" si="36"/>
        <v>2.1170160238645384</v>
      </c>
      <c r="BP52" s="1">
        <f t="shared" si="37"/>
        <v>1.6062675427871083</v>
      </c>
      <c r="BQ52" s="1">
        <f t="shared" si="38"/>
        <v>2.8386427254146054</v>
      </c>
      <c r="BR52" s="1">
        <f t="shared" si="39"/>
        <v>1.5894528316609651</v>
      </c>
      <c r="BS52" s="1">
        <f t="shared" si="40"/>
        <v>1.7327899570812</v>
      </c>
      <c r="BT52" s="1">
        <f t="shared" si="41"/>
        <v>0.81513309599100803</v>
      </c>
      <c r="BU52" s="1">
        <f t="shared" si="42"/>
        <v>1.0516529829593251</v>
      </c>
      <c r="BV52" s="1">
        <f t="shared" si="43"/>
        <v>0.81168967785443669</v>
      </c>
      <c r="BX52" s="1"/>
      <c r="BY52" s="1"/>
      <c r="BZ52" s="1"/>
      <c r="CA52" s="1"/>
    </row>
    <row r="53" spans="1:79" x14ac:dyDescent="0.25">
      <c r="A53" t="s">
        <v>68</v>
      </c>
      <c r="B53" s="6" t="s">
        <v>22</v>
      </c>
      <c r="C53" t="s">
        <v>22</v>
      </c>
      <c r="D53" t="s">
        <v>15</v>
      </c>
      <c r="E53" t="s">
        <v>22</v>
      </c>
      <c r="F53" t="s">
        <v>22</v>
      </c>
      <c r="G53" s="3">
        <v>0.239370511496277</v>
      </c>
      <c r="H53" s="3">
        <v>0.182286443977563</v>
      </c>
      <c r="I53" s="3">
        <v>0.170944729987028</v>
      </c>
      <c r="J53" s="3">
        <v>0.40739831453913</v>
      </c>
      <c r="K53" s="3">
        <v>0.21398724754582599</v>
      </c>
      <c r="L53" s="3">
        <v>0.160132824383314</v>
      </c>
      <c r="M53" s="3">
        <v>0.160832940398216</v>
      </c>
      <c r="N53" s="3">
        <v>0.46504698767264202</v>
      </c>
      <c r="O53" s="11">
        <f t="shared" si="8"/>
        <v>0.40739831453913</v>
      </c>
      <c r="Q53">
        <f t="shared" si="50"/>
        <v>1</v>
      </c>
      <c r="R53" t="str" cm="1">
        <f t="array" ref="R53">_xlfn.IFS(S53=MAX(S53:V53),"road",T53=MAX(S53:V53),"safety",U53=MAX(S53:V53),"waste",V53=MAX(S53:V53),"water")</f>
        <v>water</v>
      </c>
      <c r="S53" s="1">
        <f t="shared" si="69"/>
        <v>0.18750690067208364</v>
      </c>
      <c r="T53" s="1">
        <f t="shared" si="70"/>
        <v>0.13063861818392014</v>
      </c>
      <c r="U53" s="1">
        <f t="shared" si="71"/>
        <v>0.13105762632338813</v>
      </c>
      <c r="V53" s="1">
        <f t="shared" si="72"/>
        <v>0.29875876399536205</v>
      </c>
      <c r="W53" s="1"/>
      <c r="X53" s="1">
        <f t="shared" si="73"/>
        <v>0.1890220686654796</v>
      </c>
      <c r="Y53" s="1">
        <f t="shared" si="74"/>
        <v>0.1200996182874855</v>
      </c>
      <c r="Z53" s="1">
        <f t="shared" si="75"/>
        <v>0.10722196026547734</v>
      </c>
      <c r="AA53" s="1">
        <f t="shared" si="76"/>
        <v>0.3255328913708494</v>
      </c>
      <c r="AB53" s="8">
        <f t="shared" si="51"/>
        <v>1</v>
      </c>
      <c r="AC53" t="str" cm="1">
        <f t="array" ref="AC53">_xlfn.IFS(AD53=MAX(AD53:AG53),"road",AE53=MAX(AD53:AG53),"safety",AF53=MAX(AD53:AG53),"waste",AG53=MAX(AD53:AG53),"water")</f>
        <v>water</v>
      </c>
      <c r="AD53" s="1">
        <f t="shared" si="78"/>
        <v>0.1890220686654796</v>
      </c>
      <c r="AE53" s="1">
        <f t="shared" si="53"/>
        <v>0.1200996182874855</v>
      </c>
      <c r="AF53" s="1">
        <f t="shared" si="54"/>
        <v>0.10722196026547734</v>
      </c>
      <c r="AG53" s="1">
        <f t="shared" si="55"/>
        <v>0.3255328913708494</v>
      </c>
      <c r="AI53" s="8">
        <f t="shared" si="56"/>
        <v>1</v>
      </c>
      <c r="AJ53" t="str" cm="1">
        <f t="array" ref="AJ53">_xlfn.IFS(AK53=MAX(AK53:AN53),"road",AL53=MAX(AK53:AN53),"safety",AM53=MAX(AK53:AN53),"waste",AN53=MAX(AK53:AN53),"water")</f>
        <v>water</v>
      </c>
      <c r="AK53" s="2">
        <f t="shared" si="61"/>
        <v>0.17188132561607666</v>
      </c>
      <c r="AL53" s="2">
        <f t="shared" si="62"/>
        <v>0.11322013575939746</v>
      </c>
      <c r="AM53" s="2">
        <f t="shared" si="63"/>
        <v>0.10703039483076697</v>
      </c>
      <c r="AN53" s="2">
        <f t="shared" si="64"/>
        <v>0.23402769846303362</v>
      </c>
      <c r="AO53" s="8">
        <f t="shared" si="23"/>
        <v>1</v>
      </c>
      <c r="AP53" t="str" cm="1">
        <f t="array" ref="AP53">_xlfn.IFS(AQ53=MAX(AQ53:AT53),"road",AR53=MAX(AQ53:AT53),"safety",AS53=MAX(AQ53:AT53),"waste",AT53=MAX(AQ53:AT53),"water")</f>
        <v>water</v>
      </c>
      <c r="AQ53" s="2">
        <f t="shared" si="65"/>
        <v>0.17642059742111429</v>
      </c>
      <c r="AR53" s="2">
        <f t="shared" si="66"/>
        <v>0.10808965645873696</v>
      </c>
      <c r="AS53" s="2">
        <f t="shared" si="67"/>
        <v>8.7564600883473162E-2</v>
      </c>
      <c r="AT53" s="2">
        <f t="shared" si="68"/>
        <v>0.24957521671765118</v>
      </c>
      <c r="AU53" s="2"/>
      <c r="AW53" s="10">
        <f t="shared" si="57"/>
        <v>1</v>
      </c>
      <c r="AX53" s="2">
        <f t="shared" si="58"/>
        <v>0.48360291518068477</v>
      </c>
      <c r="AY53" t="str" cm="1">
        <f t="array" ref="AY53">_xlfn.IFS(AZ53=MAX(AZ53:BC53),"road",BA53=MAX(AZ53:BC53),"safety",BB53=MAX(AZ53:BC53),"waste",BC53=MAX(AZ53:BC53),"water")</f>
        <v>water</v>
      </c>
      <c r="AZ53" s="2">
        <f t="shared" si="28"/>
        <v>0.34830192303719099</v>
      </c>
      <c r="BA53" s="2">
        <f t="shared" si="29"/>
        <v>0.2213097922181344</v>
      </c>
      <c r="BB53" s="2">
        <f t="shared" si="30"/>
        <v>0.19459499571424013</v>
      </c>
      <c r="BC53" s="2">
        <f t="shared" si="31"/>
        <v>0.48360291518068477</v>
      </c>
      <c r="BD53" s="2"/>
      <c r="BF53" s="2">
        <f t="shared" si="32"/>
        <v>0.45335775904210296</v>
      </c>
      <c r="BG53" s="2">
        <f t="shared" si="33"/>
        <v>0.34241926836087699</v>
      </c>
      <c r="BH53" s="2">
        <f t="shared" si="34"/>
        <v>0.33177767038524397</v>
      </c>
      <c r="BI53" s="2">
        <f t="shared" si="35"/>
        <v>0.87244530221177197</v>
      </c>
      <c r="BK53" s="7">
        <f t="shared" si="59"/>
        <v>1</v>
      </c>
      <c r="BL53" t="str" cm="1">
        <f t="array" ref="BL53">_xlfn.IFS(BO53=MAX(BO53:BV53),"road",BR53=MAX(BO53:BV53),"water",BT53=MAX(BO53:BV53),"safety",BU53=MAX(BO53:BV53),"waste",BV53=MAX(BO53:BV53),"water")</f>
        <v>water</v>
      </c>
      <c r="BM53">
        <f t="shared" si="60"/>
        <v>1</v>
      </c>
      <c r="BN53" t="str" cm="1">
        <f t="array" ref="BN53">_xlfn.IFS(BO53=MAX(BO53:BR53),"road",BP53=MAX(BO53:BR53),"safety",BQ53=MAX(BO53:BR53),"waste",BR53=MAX(BO53:BR53),"water")</f>
        <v>water</v>
      </c>
      <c r="BO53" s="1">
        <f t="shared" si="36"/>
        <v>2.2095739522733262</v>
      </c>
      <c r="BP53" s="1">
        <f t="shared" si="37"/>
        <v>1.2867278398416211</v>
      </c>
      <c r="BQ53" s="1">
        <f t="shared" si="38"/>
        <v>1.4652405427459543</v>
      </c>
      <c r="BR53" s="1">
        <f t="shared" si="39"/>
        <v>3.0554873590434752</v>
      </c>
      <c r="BS53" s="1">
        <f t="shared" si="40"/>
        <v>1.8341764075356513</v>
      </c>
      <c r="BT53" s="1">
        <f t="shared" si="41"/>
        <v>0.64053129753325599</v>
      </c>
      <c r="BU53" s="1">
        <f t="shared" si="42"/>
        <v>0.48249882119464799</v>
      </c>
      <c r="BV53" s="1">
        <f t="shared" si="43"/>
        <v>1.5501566255754735</v>
      </c>
      <c r="BX53" s="1"/>
      <c r="BY53" s="1"/>
      <c r="BZ53" s="1"/>
      <c r="CA53" s="1"/>
    </row>
    <row r="54" spans="1:79" x14ac:dyDescent="0.25">
      <c r="A54" t="s">
        <v>69</v>
      </c>
      <c r="B54" s="6" t="s">
        <v>22</v>
      </c>
      <c r="C54" t="s">
        <v>22</v>
      </c>
      <c r="D54" t="s">
        <v>15</v>
      </c>
      <c r="E54" t="s">
        <v>22</v>
      </c>
      <c r="F54" t="s">
        <v>22</v>
      </c>
      <c r="G54" s="3">
        <v>0.18578778350053199</v>
      </c>
      <c r="H54" s="3">
        <v>0.13707893155047901</v>
      </c>
      <c r="I54" s="3">
        <v>0.14339228394381201</v>
      </c>
      <c r="J54" s="3">
        <v>0.53374100100517397</v>
      </c>
      <c r="K54" s="3">
        <v>0.20376895768464801</v>
      </c>
      <c r="L54" s="3">
        <v>0.17006374558524501</v>
      </c>
      <c r="M54" s="3">
        <v>0.18408928226959101</v>
      </c>
      <c r="N54" s="3">
        <v>0.44207801446051298</v>
      </c>
      <c r="O54" s="11">
        <f t="shared" si="8"/>
        <v>0.53374100100517397</v>
      </c>
      <c r="Q54">
        <f t="shared" si="50"/>
        <v>1</v>
      </c>
      <c r="R54" t="str" cm="1">
        <f t="array" ref="R54">_xlfn.IFS(S54=MAX(S54:V54),"road",T54=MAX(S54:V54),"safety",U54=MAX(S54:V54),"waste",V54=MAX(S54:V54),"water")</f>
        <v>water</v>
      </c>
      <c r="S54" s="1">
        <f t="shared" si="69"/>
        <v>0.14553376374208338</v>
      </c>
      <c r="T54" s="1">
        <f t="shared" si="70"/>
        <v>9.8239900944509961E-2</v>
      </c>
      <c r="U54" s="1">
        <f t="shared" si="71"/>
        <v>0.10993408435692253</v>
      </c>
      <c r="V54" s="1">
        <f t="shared" si="72"/>
        <v>0.39141006740379425</v>
      </c>
      <c r="W54" s="1"/>
      <c r="X54" s="1">
        <f t="shared" si="73"/>
        <v>0.17999591262143907</v>
      </c>
      <c r="Y54" s="1">
        <f t="shared" si="74"/>
        <v>0.12754780918893377</v>
      </c>
      <c r="Z54" s="1">
        <f t="shared" si="75"/>
        <v>0.12272618817972736</v>
      </c>
      <c r="AA54" s="1">
        <f t="shared" si="76"/>
        <v>0.30945461012235909</v>
      </c>
      <c r="AB54" s="8">
        <f t="shared" si="51"/>
        <v>1</v>
      </c>
      <c r="AC54" t="str" cm="1">
        <f t="array" ref="AC54">_xlfn.IFS(AD54=MAX(AD54:AG54),"road",AE54=MAX(AD54:AG54),"safety",AF54=MAX(AD54:AG54),"waste",AG54=MAX(AD54:AG54),"water")</f>
        <v>water</v>
      </c>
      <c r="AD54" s="1">
        <f t="shared" si="78"/>
        <v>0.17999591262143907</v>
      </c>
      <c r="AE54" s="1">
        <f t="shared" si="53"/>
        <v>0.12754780918893377</v>
      </c>
      <c r="AF54" s="1">
        <f t="shared" si="54"/>
        <v>0.12272618817972736</v>
      </c>
      <c r="AG54" s="1">
        <f t="shared" si="55"/>
        <v>0.30945461012235909</v>
      </c>
      <c r="AI54" s="8">
        <f t="shared" si="56"/>
        <v>1</v>
      </c>
      <c r="AJ54" t="str" cm="1">
        <f t="array" ref="AJ54">_xlfn.IFS(AK54=MAX(AK54:AN54),"road",AL54=MAX(AK54:AN54),"safety",AM54=MAX(AK54:AN54),"waste",AN54=MAX(AK54:AN54),"water")</f>
        <v>water</v>
      </c>
      <c r="AK54" s="2">
        <f t="shared" si="61"/>
        <v>0.13340595009690975</v>
      </c>
      <c r="AL54" s="2">
        <f t="shared" si="62"/>
        <v>8.5141247485241975E-2</v>
      </c>
      <c r="AM54" s="2">
        <f t="shared" si="63"/>
        <v>8.9779502224820062E-2</v>
      </c>
      <c r="AN54" s="2">
        <f t="shared" si="64"/>
        <v>0.30660455279963883</v>
      </c>
      <c r="AO54" s="8">
        <f t="shared" si="23"/>
        <v>1</v>
      </c>
      <c r="AP54" t="str" cm="1">
        <f t="array" ref="AP54">_xlfn.IFS(AQ54=MAX(AQ54:AT54),"road",AR54=MAX(AQ54:AT54),"safety",AS54=MAX(AQ54:AT54),"waste",AT54=MAX(AQ54:AT54),"water")</f>
        <v>water</v>
      </c>
      <c r="AQ54" s="2">
        <f t="shared" si="65"/>
        <v>0.16799618511334313</v>
      </c>
      <c r="AR54" s="2">
        <f t="shared" si="66"/>
        <v>0.1147930282700404</v>
      </c>
      <c r="AS54" s="2">
        <f t="shared" si="67"/>
        <v>0.10022638701344401</v>
      </c>
      <c r="AT54" s="2">
        <f t="shared" si="68"/>
        <v>0.23724853442714194</v>
      </c>
      <c r="AU54" s="2"/>
      <c r="AW54" s="10">
        <f t="shared" si="57"/>
        <v>1</v>
      </c>
      <c r="AX54" s="2">
        <f t="shared" si="58"/>
        <v>0.54385308722678083</v>
      </c>
      <c r="AY54" t="str" cm="1">
        <f t="array" ref="AY54">_xlfn.IFS(AZ54=MAX(AZ54:BC54),"road",BA54=MAX(AZ54:BC54),"safety",BB54=MAX(AZ54:BC54),"waste",BC54=MAX(AZ54:BC54),"water")</f>
        <v>water</v>
      </c>
      <c r="AZ54" s="2">
        <f t="shared" si="28"/>
        <v>0.30140213521025289</v>
      </c>
      <c r="BA54" s="2">
        <f t="shared" si="29"/>
        <v>0.19993427575528239</v>
      </c>
      <c r="BB54" s="2">
        <f t="shared" si="30"/>
        <v>0.19000588923826406</v>
      </c>
      <c r="BC54" s="2">
        <f t="shared" si="31"/>
        <v>0.54385308722678083</v>
      </c>
      <c r="BD54" s="2"/>
      <c r="BF54" s="2">
        <f t="shared" si="32"/>
        <v>0.38955674118518002</v>
      </c>
      <c r="BG54" s="2">
        <f t="shared" si="33"/>
        <v>0.30714267713572402</v>
      </c>
      <c r="BH54" s="2">
        <f t="shared" si="34"/>
        <v>0.32748156621340302</v>
      </c>
      <c r="BI54" s="2">
        <f t="shared" si="35"/>
        <v>0.97581901546568695</v>
      </c>
      <c r="BK54" s="7">
        <f t="shared" si="59"/>
        <v>1</v>
      </c>
      <c r="BL54" t="str" cm="1">
        <f t="array" ref="BL54">_xlfn.IFS(BO54=MAX(BO54:BV54),"road",BR54=MAX(BO54:BV54),"water",BT54=MAX(BO54:BV54),"safety",BU54=MAX(BO54:BV54),"waste",BV54=MAX(BO54:BV54),"water")</f>
        <v>water</v>
      </c>
      <c r="BM54">
        <f t="shared" si="60"/>
        <v>1</v>
      </c>
      <c r="BN54" t="str" cm="1">
        <f t="array" ref="BN54">_xlfn.IFS(BO54=MAX(BO54:BR54),"road",BP54=MAX(BO54:BR54),"safety",BQ54=MAX(BO54:BR54),"waste",BR54=MAX(BO54:BR54),"water")</f>
        <v>water</v>
      </c>
      <c r="BO54" s="1">
        <f t="shared" si="36"/>
        <v>1.7149641553895261</v>
      </c>
      <c r="BP54" s="1">
        <f t="shared" si="37"/>
        <v>0.96761598741514598</v>
      </c>
      <c r="BQ54" s="1">
        <f t="shared" si="38"/>
        <v>1.2290767195183887</v>
      </c>
      <c r="BR54" s="1">
        <f t="shared" si="39"/>
        <v>4.0030575075388048</v>
      </c>
      <c r="BS54" s="1">
        <f t="shared" si="40"/>
        <v>1.7465910658684114</v>
      </c>
      <c r="BT54" s="1">
        <f t="shared" si="41"/>
        <v>0.68025498234098003</v>
      </c>
      <c r="BU54" s="1">
        <f t="shared" si="42"/>
        <v>0.55226784680877306</v>
      </c>
      <c r="BV54" s="1">
        <f t="shared" si="43"/>
        <v>1.4735933815350433</v>
      </c>
      <c r="BX54" s="1"/>
      <c r="BY54" s="1"/>
      <c r="BZ54" s="1"/>
      <c r="CA54" s="1"/>
    </row>
    <row r="55" spans="1:79" x14ac:dyDescent="0.25">
      <c r="A55" t="s">
        <v>70</v>
      </c>
      <c r="B55" s="6" t="s">
        <v>22</v>
      </c>
      <c r="C55" t="s">
        <v>22</v>
      </c>
      <c r="D55" t="s">
        <v>15</v>
      </c>
      <c r="E55" t="s">
        <v>22</v>
      </c>
      <c r="F55" t="s">
        <v>22</v>
      </c>
      <c r="G55" s="3">
        <v>0.244392771351957</v>
      </c>
      <c r="H55" s="3">
        <v>0.16689127160907799</v>
      </c>
      <c r="I55" s="3">
        <v>0.222403428473231</v>
      </c>
      <c r="J55" s="3">
        <v>0.36631252856573199</v>
      </c>
      <c r="K55" s="3">
        <v>0.215083137512704</v>
      </c>
      <c r="L55" s="3">
        <v>0.161927293578667</v>
      </c>
      <c r="M55" s="3">
        <v>0.219530841714727</v>
      </c>
      <c r="N55" s="3">
        <v>0.40345872719390002</v>
      </c>
      <c r="O55" s="11">
        <f t="shared" si="8"/>
        <v>0.36631252856573199</v>
      </c>
      <c r="Q55">
        <f t="shared" si="50"/>
        <v>1</v>
      </c>
      <c r="R55" t="str" cm="1">
        <f t="array" ref="R55">_xlfn.IFS(S55=MAX(S55:V55),"road",T55=MAX(S55:V55),"safety",U55=MAX(S55:V55),"waste",V55=MAX(S55:V55),"water")</f>
        <v>water</v>
      </c>
      <c r="S55" s="1">
        <f t="shared" si="69"/>
        <v>0.19144100422569965</v>
      </c>
      <c r="T55" s="1">
        <f t="shared" si="70"/>
        <v>0.11960541131983923</v>
      </c>
      <c r="U55" s="1">
        <f t="shared" si="71"/>
        <v>0.17050929516281041</v>
      </c>
      <c r="V55" s="1">
        <f t="shared" si="72"/>
        <v>0.26862918761487015</v>
      </c>
      <c r="W55" s="1"/>
      <c r="X55" s="1">
        <f t="shared" si="73"/>
        <v>0.18999010480288853</v>
      </c>
      <c r="Y55" s="1">
        <f t="shared" si="74"/>
        <v>0.12144547018400026</v>
      </c>
      <c r="Z55" s="1">
        <f t="shared" si="75"/>
        <v>0.1463538944764847</v>
      </c>
      <c r="AA55" s="1">
        <f t="shared" si="76"/>
        <v>0.28242110903572998</v>
      </c>
      <c r="AB55" s="8">
        <f t="shared" si="51"/>
        <v>1</v>
      </c>
      <c r="AC55" t="str" cm="1">
        <f t="array" ref="AC55">_xlfn.IFS(AD55=MAX(AD55:AG55),"road",AE55=MAX(AD55:AG55),"safety",AF55=MAX(AD55:AG55),"waste",AG55=MAX(AD55:AG55),"water")</f>
        <v>water</v>
      </c>
      <c r="AD55" s="1">
        <f t="shared" si="78"/>
        <v>0.18999010480288853</v>
      </c>
      <c r="AE55" s="1">
        <f t="shared" si="53"/>
        <v>0.12144547018400026</v>
      </c>
      <c r="AF55" s="1">
        <f t="shared" si="54"/>
        <v>0.1463538944764847</v>
      </c>
      <c r="AG55" s="1">
        <f t="shared" si="55"/>
        <v>0.28242110903572998</v>
      </c>
      <c r="AI55" s="8">
        <f t="shared" si="56"/>
        <v>1</v>
      </c>
      <c r="AJ55" t="str" cm="1">
        <f t="array" ref="AJ55">_xlfn.IFS(AK55=MAX(AK55:AN55),"road",AL55=MAX(AK55:AN55),"safety",AM55=MAX(AK55:AN55),"waste",AN55=MAX(AK55:AN55),"water")</f>
        <v>water</v>
      </c>
      <c r="AK55" s="2">
        <f t="shared" si="61"/>
        <v>0.17548758720689134</v>
      </c>
      <c r="AL55" s="2">
        <f t="shared" si="62"/>
        <v>0.10365802314386068</v>
      </c>
      <c r="AM55" s="2">
        <f t="shared" si="63"/>
        <v>0.13924925771629518</v>
      </c>
      <c r="AN55" s="2">
        <f t="shared" si="64"/>
        <v>0.2104261969649816</v>
      </c>
      <c r="AO55" s="8">
        <f t="shared" si="23"/>
        <v>1</v>
      </c>
      <c r="AP55" t="str" cm="1">
        <f t="array" ref="AP55">_xlfn.IFS(AQ55=MAX(AQ55:AT55),"road",AR55=MAX(AQ55:AT55),"safety",AS55=MAX(AQ55:AT55),"waste",AT55=MAX(AQ55:AT55),"water")</f>
        <v>water</v>
      </c>
      <c r="AQ55" s="2">
        <f t="shared" si="65"/>
        <v>0.17732409781602929</v>
      </c>
      <c r="AR55" s="2">
        <f t="shared" si="66"/>
        <v>0.10930092316560024</v>
      </c>
      <c r="AS55" s="2">
        <f t="shared" si="67"/>
        <v>0.11952234715579584</v>
      </c>
      <c r="AT55" s="2">
        <f t="shared" si="68"/>
        <v>0.21652285026072629</v>
      </c>
      <c r="AU55" s="2"/>
      <c r="AW55" s="10">
        <f t="shared" si="57"/>
        <v>1</v>
      </c>
      <c r="AX55" s="2">
        <f t="shared" si="58"/>
        <v>0.42694904722570792</v>
      </c>
      <c r="AY55" t="str" cm="1">
        <f t="array" ref="AY55">_xlfn.IFS(AZ55=MAX(AZ55:BC55),"road",BA55=MAX(AZ55:BC55),"safety",BB55=MAX(AZ55:BC55),"waste",BC55=MAX(AZ55:BC55),"water")</f>
        <v>water</v>
      </c>
      <c r="AZ55" s="2">
        <f t="shared" si="28"/>
        <v>0.3528116850229206</v>
      </c>
      <c r="BA55" s="2">
        <f t="shared" si="29"/>
        <v>0.21295894630946091</v>
      </c>
      <c r="BB55" s="2">
        <f t="shared" si="30"/>
        <v>0.258771604872091</v>
      </c>
      <c r="BC55" s="2">
        <f t="shared" si="31"/>
        <v>0.42694904722570792</v>
      </c>
      <c r="BD55" s="2"/>
      <c r="BF55" s="2">
        <f t="shared" si="32"/>
        <v>0.459475908864661</v>
      </c>
      <c r="BG55" s="2">
        <f t="shared" si="33"/>
        <v>0.32881856518774499</v>
      </c>
      <c r="BH55" s="2">
        <f t="shared" si="34"/>
        <v>0.441934270187958</v>
      </c>
      <c r="BI55" s="2">
        <f t="shared" si="35"/>
        <v>0.76977125575963201</v>
      </c>
      <c r="BK55" s="7">
        <f t="shared" si="59"/>
        <v>1</v>
      </c>
      <c r="BL55" t="str" cm="1">
        <f t="array" ref="BL55">_xlfn.IFS(BO55=MAX(BO55:BV55),"road",BR55=MAX(BO55:BV55),"water",BT55=MAX(BO55:BV55),"safety",BU55=MAX(BO55:BV55),"waste",BV55=MAX(BO55:BV55),"water")</f>
        <v>water</v>
      </c>
      <c r="BM55">
        <f t="shared" si="60"/>
        <v>1</v>
      </c>
      <c r="BN55" t="str" cm="1">
        <f t="array" ref="BN55">_xlfn.IFS(BO55=MAX(BO55:BR55),"road",BP55=MAX(BO55:BR55),"safety",BQ55=MAX(BO55:BR55),"waste",BR55=MAX(BO55:BR55),"water")</f>
        <v>water</v>
      </c>
      <c r="BO55" s="1">
        <f t="shared" si="36"/>
        <v>2.2559332740180644</v>
      </c>
      <c r="BP55" s="1">
        <f t="shared" si="37"/>
        <v>1.1780560348876095</v>
      </c>
      <c r="BQ55" s="1">
        <f t="shared" si="38"/>
        <v>1.9063151011991228</v>
      </c>
      <c r="BR55" s="1">
        <f t="shared" si="39"/>
        <v>2.7473439642429898</v>
      </c>
      <c r="BS55" s="1">
        <f t="shared" si="40"/>
        <v>1.8435697501088915</v>
      </c>
      <c r="BT55" s="1">
        <f t="shared" si="41"/>
        <v>0.64770917431466801</v>
      </c>
      <c r="BU55" s="1">
        <f t="shared" si="42"/>
        <v>0.6585925251441811</v>
      </c>
      <c r="BV55" s="1">
        <f t="shared" si="43"/>
        <v>1.3448624239796667</v>
      </c>
      <c r="BX55" s="1"/>
      <c r="BY55" s="1"/>
      <c r="BZ55" s="1"/>
      <c r="CA55" s="1"/>
    </row>
    <row r="56" spans="1:79" x14ac:dyDescent="0.25">
      <c r="A56" t="s">
        <v>71</v>
      </c>
      <c r="B56" s="6" t="s">
        <v>22</v>
      </c>
      <c r="C56" t="s">
        <v>22</v>
      </c>
      <c r="D56" t="s">
        <v>15</v>
      </c>
      <c r="E56" t="s">
        <v>22</v>
      </c>
      <c r="F56" t="s">
        <v>22</v>
      </c>
      <c r="G56" s="3">
        <v>0.157413025458876</v>
      </c>
      <c r="H56" s="3">
        <v>0.18742938168186399</v>
      </c>
      <c r="I56" s="3">
        <v>0.193844842949216</v>
      </c>
      <c r="J56" s="3">
        <v>0.46131274991004201</v>
      </c>
      <c r="K56" s="3">
        <v>0.17384182844298701</v>
      </c>
      <c r="L56" s="3">
        <v>0.20610121982983301</v>
      </c>
      <c r="M56" s="3">
        <v>0.255107937167315</v>
      </c>
      <c r="N56" s="3">
        <v>0.36494901455986301</v>
      </c>
      <c r="O56" s="11">
        <f t="shared" si="8"/>
        <v>0.46131274991004201</v>
      </c>
      <c r="Q56">
        <f t="shared" si="50"/>
        <v>1</v>
      </c>
      <c r="R56" t="str" cm="1">
        <f t="array" ref="R56">_xlfn.IFS(S56=MAX(S56:V56),"road",T56=MAX(S56:V56),"safety",U56=MAX(S56:V56),"waste",V56=MAX(S56:V56),"water")</f>
        <v>water</v>
      </c>
      <c r="S56" s="1">
        <f t="shared" si="69"/>
        <v>0.1233068699427862</v>
      </c>
      <c r="T56" s="1">
        <f t="shared" si="70"/>
        <v>0.13432439020533585</v>
      </c>
      <c r="U56" s="1">
        <f t="shared" si="71"/>
        <v>0.14861437959439891</v>
      </c>
      <c r="V56" s="1">
        <f t="shared" si="72"/>
        <v>0.33829601660069752</v>
      </c>
      <c r="W56" s="1"/>
      <c r="X56" s="1">
        <f t="shared" si="73"/>
        <v>0.15356028179130518</v>
      </c>
      <c r="Y56" s="1">
        <f t="shared" si="74"/>
        <v>0.15457591487237476</v>
      </c>
      <c r="Z56" s="1">
        <f t="shared" si="75"/>
        <v>0.17007195811154335</v>
      </c>
      <c r="AA56" s="1">
        <f t="shared" si="76"/>
        <v>0.25546431019190408</v>
      </c>
      <c r="AB56" s="8">
        <f t="shared" si="51"/>
        <v>1</v>
      </c>
      <c r="AC56" t="str" cm="1">
        <f t="array" ref="AC56">_xlfn.IFS(AD56=MAX(AD56:AG56),"road",AE56=MAX(AD56:AG56),"safety",AF56=MAX(AD56:AG56),"waste",AG56=MAX(AD56:AG56),"water")</f>
        <v>water</v>
      </c>
      <c r="AD56" s="1">
        <f t="shared" si="78"/>
        <v>0.15356028179130518</v>
      </c>
      <c r="AE56" s="1">
        <f t="shared" si="53"/>
        <v>0.15457591487237476</v>
      </c>
      <c r="AF56" s="1">
        <f t="shared" si="54"/>
        <v>0.17007195811154335</v>
      </c>
      <c r="AG56" s="1">
        <f t="shared" si="55"/>
        <v>0.25546431019190408</v>
      </c>
      <c r="AI56" s="8">
        <f t="shared" si="56"/>
        <v>1</v>
      </c>
      <c r="AJ56" t="str" cm="1">
        <f t="array" ref="AJ56">_xlfn.IFS(AK56=MAX(AK56:AN56),"road",AL56=MAX(AK56:AN56),"safety",AM56=MAX(AK56:AN56),"waste",AN56=MAX(AK56:AN56),"water")</f>
        <v>water</v>
      </c>
      <c r="AK56" s="2">
        <f t="shared" si="61"/>
        <v>0.11303129744755401</v>
      </c>
      <c r="AL56" s="2">
        <f t="shared" si="62"/>
        <v>0.11641447151129107</v>
      </c>
      <c r="AM56" s="2">
        <f t="shared" si="63"/>
        <v>0.12136841000209245</v>
      </c>
      <c r="AN56" s="2">
        <f t="shared" si="64"/>
        <v>0.26499854633721304</v>
      </c>
      <c r="AO56" s="8">
        <f t="shared" si="23"/>
        <v>1</v>
      </c>
      <c r="AP56" t="str" cm="1">
        <f t="array" ref="AP56">_xlfn.IFS(AQ56=MAX(AQ56:AT56),"road",AR56=MAX(AQ56:AT56),"safety",AS56=MAX(AQ56:AT56),"waste",AT56=MAX(AQ56:AT56),"water")</f>
        <v>water</v>
      </c>
      <c r="AQ56" s="2">
        <f t="shared" si="65"/>
        <v>0.14332292967188484</v>
      </c>
      <c r="AR56" s="2">
        <f t="shared" si="66"/>
        <v>0.1391183233851373</v>
      </c>
      <c r="AS56" s="2">
        <f t="shared" si="67"/>
        <v>0.13889209912442707</v>
      </c>
      <c r="AT56" s="2">
        <f t="shared" si="68"/>
        <v>0.19585597114712644</v>
      </c>
      <c r="AU56" s="2"/>
      <c r="AW56" s="10">
        <f t="shared" si="57"/>
        <v>1</v>
      </c>
      <c r="AX56" s="2">
        <f t="shared" si="58"/>
        <v>0.46085451748433948</v>
      </c>
      <c r="AY56" t="str" cm="1">
        <f t="array" ref="AY56">_xlfn.IFS(AZ56=MAX(AZ56:BC56),"road",BA56=MAX(AZ56:BC56),"safety",BB56=MAX(AZ56:BC56),"waste",BC56=MAX(AZ56:BC56),"water")</f>
        <v>water</v>
      </c>
      <c r="AZ56" s="2">
        <f t="shared" si="28"/>
        <v>0.25635422711943884</v>
      </c>
      <c r="BA56" s="2">
        <f t="shared" si="29"/>
        <v>0.25553279489642838</v>
      </c>
      <c r="BB56" s="2">
        <f t="shared" si="30"/>
        <v>0.26026050912651955</v>
      </c>
      <c r="BC56" s="2">
        <f t="shared" si="31"/>
        <v>0.46085451748433948</v>
      </c>
      <c r="BD56" s="2"/>
      <c r="BF56" s="2">
        <f t="shared" si="32"/>
        <v>0.33125485390186304</v>
      </c>
      <c r="BG56" s="2">
        <f t="shared" si="33"/>
        <v>0.393530601511697</v>
      </c>
      <c r="BH56" s="2">
        <f t="shared" si="34"/>
        <v>0.448952780116531</v>
      </c>
      <c r="BI56" s="2">
        <f t="shared" si="35"/>
        <v>0.82626176446990507</v>
      </c>
      <c r="BK56" s="7">
        <f t="shared" si="59"/>
        <v>1</v>
      </c>
      <c r="BL56" t="str" cm="1">
        <f t="array" ref="BL56">_xlfn.IFS(BO56=MAX(BO56:BV56),"road",BR56=MAX(BO56:BV56),"water",BT56=MAX(BO56:BV56),"safety",BU56=MAX(BO56:BV56),"waste",BV56=MAX(BO56:BV56),"water")</f>
        <v>water</v>
      </c>
      <c r="BM56">
        <f t="shared" si="60"/>
        <v>1</v>
      </c>
      <c r="BN56" t="str" cm="1">
        <f t="array" ref="BN56">_xlfn.IFS(BO56=MAX(BO56:BR56),"road",BP56=MAX(BO56:BR56),"safety",BQ56=MAX(BO56:BR56),"waste",BR56=MAX(BO56:BR56),"water")</f>
        <v>water</v>
      </c>
      <c r="BO56" s="1">
        <f t="shared" si="36"/>
        <v>1.4530433119280861</v>
      </c>
      <c r="BP56" s="1">
        <f t="shared" si="37"/>
        <v>1.3230309295190399</v>
      </c>
      <c r="BQ56" s="1">
        <f t="shared" si="38"/>
        <v>1.6615272252789943</v>
      </c>
      <c r="BR56" s="1">
        <f t="shared" si="39"/>
        <v>3.4598456243253151</v>
      </c>
      <c r="BS56" s="1">
        <f t="shared" si="40"/>
        <v>1.4900728152256029</v>
      </c>
      <c r="BT56" s="1">
        <f t="shared" si="41"/>
        <v>0.82440487931933204</v>
      </c>
      <c r="BU56" s="1">
        <f t="shared" si="42"/>
        <v>0.76532381150194506</v>
      </c>
      <c r="BV56" s="1">
        <f t="shared" si="43"/>
        <v>1.2164967151995434</v>
      </c>
      <c r="BX56" s="1"/>
      <c r="BY56" s="1"/>
      <c r="BZ56" s="1"/>
      <c r="CA56" s="1"/>
    </row>
    <row r="57" spans="1:79" x14ac:dyDescent="0.25">
      <c r="A57" t="s">
        <v>72</v>
      </c>
      <c r="B57" s="6" t="s">
        <v>22</v>
      </c>
      <c r="C57" t="s">
        <v>22</v>
      </c>
      <c r="D57" t="s">
        <v>15</v>
      </c>
      <c r="E57" t="s">
        <v>22</v>
      </c>
      <c r="F57" t="s">
        <v>22</v>
      </c>
      <c r="G57" s="3">
        <v>0.169593174107182</v>
      </c>
      <c r="H57" s="3">
        <v>0.15752142764862201</v>
      </c>
      <c r="I57" s="3">
        <v>0.145157471602824</v>
      </c>
      <c r="J57" s="3">
        <v>0.52772792664137003</v>
      </c>
      <c r="K57" s="3">
        <v>0.17247404918029799</v>
      </c>
      <c r="L57" s="3">
        <v>0.154267802330983</v>
      </c>
      <c r="M57" s="3">
        <v>0.15500144283344</v>
      </c>
      <c r="N57" s="3">
        <v>0.51825670565527704</v>
      </c>
      <c r="O57" s="11">
        <f t="shared" si="8"/>
        <v>0.52772792664137003</v>
      </c>
      <c r="Q57">
        <f t="shared" si="50"/>
        <v>1</v>
      </c>
      <c r="R57" t="str" cm="1">
        <f t="array" ref="R57">_xlfn.IFS(S57=MAX(S57:V57),"road",T57=MAX(S57:V57),"safety",U57=MAX(S57:V57),"waste",V57=MAX(S57:V57),"water")</f>
        <v>water</v>
      </c>
      <c r="S57" s="1">
        <f t="shared" si="69"/>
        <v>0.13284798638395923</v>
      </c>
      <c r="T57" s="1">
        <f t="shared" si="70"/>
        <v>0.11289035648151244</v>
      </c>
      <c r="U57" s="1">
        <f t="shared" si="71"/>
        <v>0.11128739489549838</v>
      </c>
      <c r="V57" s="1">
        <f t="shared" si="72"/>
        <v>0.38700047953700473</v>
      </c>
      <c r="W57" s="1"/>
      <c r="X57" s="1">
        <f t="shared" si="73"/>
        <v>0.15235207677592988</v>
      </c>
      <c r="Y57" s="1">
        <f t="shared" si="74"/>
        <v>0.11570085174823724</v>
      </c>
      <c r="Z57" s="1">
        <f t="shared" si="75"/>
        <v>0.10333429522229334</v>
      </c>
      <c r="AA57" s="1">
        <f t="shared" si="76"/>
        <v>0.36277969395869392</v>
      </c>
      <c r="AB57" s="8">
        <f t="shared" si="51"/>
        <v>1</v>
      </c>
      <c r="AC57" t="str" cm="1">
        <f t="array" ref="AC57">_xlfn.IFS(AD57=MAX(AD57:AG57),"road",AE57=MAX(AD57:AG57),"safety",AF57=MAX(AD57:AG57),"waste",AG57=MAX(AD57:AG57),"water")</f>
        <v>water</v>
      </c>
      <c r="AD57" s="1">
        <f t="shared" si="78"/>
        <v>0.15235207677592988</v>
      </c>
      <c r="AE57" s="1">
        <f t="shared" si="53"/>
        <v>0.11570085174823724</v>
      </c>
      <c r="AF57" s="1">
        <f t="shared" si="54"/>
        <v>0.10333429522229334</v>
      </c>
      <c r="AG57" s="1">
        <f t="shared" si="55"/>
        <v>0.36277969395869392</v>
      </c>
      <c r="AI57" s="8">
        <f t="shared" si="56"/>
        <v>1</v>
      </c>
      <c r="AJ57" t="str" cm="1">
        <f t="array" ref="AJ57">_xlfn.IFS(AK57=MAX(AK57:AN57),"road",AL57=MAX(AK57:AN57),"safety",AM57=MAX(AK57:AN57),"waste",AN57=MAX(AK57:AN57),"water")</f>
        <v>water</v>
      </c>
      <c r="AK57" s="2">
        <f t="shared" si="61"/>
        <v>0.12177732085196262</v>
      </c>
      <c r="AL57" s="2">
        <f t="shared" si="62"/>
        <v>9.7838308950644118E-2</v>
      </c>
      <c r="AM57" s="2">
        <f t="shared" si="63"/>
        <v>9.0884705831323673E-2</v>
      </c>
      <c r="AN57" s="2">
        <f t="shared" si="64"/>
        <v>0.30315037563732039</v>
      </c>
      <c r="AO57" s="8">
        <f t="shared" si="23"/>
        <v>1</v>
      </c>
      <c r="AP57" t="str" cm="1">
        <f t="array" ref="AP57">_xlfn.IFS(AQ57=MAX(AQ57:AT57),"road",AR57=MAX(AQ57:AT57),"safety",AS57=MAX(AQ57:AT57),"waste",AT57=MAX(AQ57:AT57),"water")</f>
        <v>water</v>
      </c>
      <c r="AQ57" s="2">
        <f t="shared" si="65"/>
        <v>0.14219527165753457</v>
      </c>
      <c r="AR57" s="2">
        <f t="shared" si="66"/>
        <v>0.10413076657341352</v>
      </c>
      <c r="AS57" s="2">
        <f t="shared" si="67"/>
        <v>8.4389674431539566E-2</v>
      </c>
      <c r="AT57" s="2">
        <f t="shared" si="68"/>
        <v>0.2781310987016653</v>
      </c>
      <c r="AU57" s="2"/>
      <c r="AW57" s="10">
        <f t="shared" si="57"/>
        <v>1</v>
      </c>
      <c r="AX57" s="2">
        <f t="shared" si="58"/>
        <v>0.58128147433898569</v>
      </c>
      <c r="AY57" t="str" cm="1">
        <f t="array" ref="AY57">_xlfn.IFS(AZ57=MAX(AZ57:BC57),"road",BA57=MAX(AZ57:BC57),"safety",BB57=MAX(AZ57:BC57),"waste",BC57=MAX(AZ57:BC57),"water")</f>
        <v>water</v>
      </c>
      <c r="AZ57" s="2">
        <f t="shared" si="28"/>
        <v>0.26397259250949717</v>
      </c>
      <c r="BA57" s="2">
        <f t="shared" si="29"/>
        <v>0.20196907552405763</v>
      </c>
      <c r="BB57" s="2">
        <f t="shared" si="30"/>
        <v>0.17527438026286324</v>
      </c>
      <c r="BC57" s="2">
        <f t="shared" si="31"/>
        <v>0.58128147433898569</v>
      </c>
      <c r="BD57" s="2"/>
      <c r="BF57" s="2">
        <f t="shared" si="32"/>
        <v>0.34206722328747996</v>
      </c>
      <c r="BG57" s="2">
        <f t="shared" si="33"/>
        <v>0.31178922997960501</v>
      </c>
      <c r="BH57" s="2">
        <f t="shared" si="34"/>
        <v>0.30015891443626397</v>
      </c>
      <c r="BI57" s="2">
        <f t="shared" si="35"/>
        <v>1.0459846322966471</v>
      </c>
      <c r="BK57" s="7">
        <f t="shared" si="59"/>
        <v>1</v>
      </c>
      <c r="BL57" t="str" cm="1">
        <f t="array" ref="BL57">_xlfn.IFS(BO57=MAX(BO57:BV57),"road",BR57=MAX(BO57:BV57),"water",BT57=MAX(BO57:BV57),"safety",BU57=MAX(BO57:BV57),"waste",BV57=MAX(BO57:BV57),"water")</f>
        <v>water</v>
      </c>
      <c r="BM57">
        <f t="shared" si="60"/>
        <v>1</v>
      </c>
      <c r="BN57" t="str" cm="1">
        <f t="array" ref="BN57">_xlfn.IFS(BO57=MAX(BO57:BR57),"road",BP57=MAX(BO57:BR57),"safety",BQ57=MAX(BO57:BR57),"waste",BR57=MAX(BO57:BR57),"water")</f>
        <v>water</v>
      </c>
      <c r="BO57" s="1">
        <f t="shared" si="36"/>
        <v>1.5654754532970645</v>
      </c>
      <c r="BP57" s="1">
        <f t="shared" si="37"/>
        <v>1.111915959872626</v>
      </c>
      <c r="BQ57" s="1">
        <f t="shared" si="38"/>
        <v>1.2442068994527771</v>
      </c>
      <c r="BR57" s="1">
        <f t="shared" si="39"/>
        <v>3.957959449810275</v>
      </c>
      <c r="BS57" s="1">
        <f t="shared" si="40"/>
        <v>1.4783489929739828</v>
      </c>
      <c r="BT57" s="1">
        <f t="shared" si="41"/>
        <v>0.617071209323932</v>
      </c>
      <c r="BU57" s="1">
        <f t="shared" si="42"/>
        <v>0.46500432850032003</v>
      </c>
      <c r="BV57" s="1">
        <f t="shared" si="43"/>
        <v>1.7275223521842569</v>
      </c>
      <c r="BX57" s="1"/>
      <c r="BY57" s="1"/>
      <c r="BZ57" s="1"/>
      <c r="CA57" s="1"/>
    </row>
    <row r="58" spans="1:79" x14ac:dyDescent="0.25">
      <c r="A58" t="s">
        <v>73</v>
      </c>
      <c r="B58" s="6" t="s">
        <v>24</v>
      </c>
      <c r="C58" t="s">
        <v>3</v>
      </c>
      <c r="D58" t="s">
        <v>15</v>
      </c>
      <c r="E58" t="s">
        <v>3</v>
      </c>
      <c r="F58" t="s">
        <v>3</v>
      </c>
      <c r="G58" s="3">
        <v>0.30264695083055498</v>
      </c>
      <c r="H58" s="3">
        <v>0.24191188343773301</v>
      </c>
      <c r="I58" s="3">
        <v>0.24042497673933999</v>
      </c>
      <c r="J58" s="3">
        <v>0.21501618899236999</v>
      </c>
      <c r="K58" s="3">
        <v>0.28081200097514403</v>
      </c>
      <c r="L58" s="3">
        <v>0.23043587901078899</v>
      </c>
      <c r="M58" s="3">
        <v>0.241403397589952</v>
      </c>
      <c r="N58" s="3">
        <v>0.24734872242411299</v>
      </c>
      <c r="O58" s="11">
        <f t="shared" si="8"/>
        <v>0.30264695083055498</v>
      </c>
      <c r="Q58">
        <f t="shared" si="50"/>
        <v>0</v>
      </c>
      <c r="R58" t="str" cm="1">
        <f t="array" ref="R58">_xlfn.IFS(S58=MAX(S58:V58),"road",T58=MAX(S58:V58),"safety",U58=MAX(S58:V58),"waste",V58=MAX(S58:V58),"water")</f>
        <v>road</v>
      </c>
      <c r="S58" s="1">
        <f t="shared" si="69"/>
        <v>0.23707344481726808</v>
      </c>
      <c r="T58" s="1">
        <f t="shared" si="70"/>
        <v>0.17337018313037533</v>
      </c>
      <c r="U58" s="1">
        <f t="shared" si="71"/>
        <v>0.18432581550016064</v>
      </c>
      <c r="V58" s="1">
        <f t="shared" si="72"/>
        <v>0.15767853859440467</v>
      </c>
      <c r="W58" s="1"/>
      <c r="X58" s="1">
        <f t="shared" si="73"/>
        <v>0.24805060086137723</v>
      </c>
      <c r="Y58" s="1">
        <f t="shared" si="74"/>
        <v>0.17282690925809174</v>
      </c>
      <c r="Z58" s="1">
        <f t="shared" si="75"/>
        <v>0.16093559839330135</v>
      </c>
      <c r="AA58" s="1">
        <f t="shared" si="76"/>
        <v>0.17314410569687907</v>
      </c>
      <c r="AB58" s="8">
        <f t="shared" si="51"/>
        <v>0</v>
      </c>
      <c r="AC58" t="str" cm="1">
        <f t="array" ref="AC58">_xlfn.IFS(AD58=MAX(AD58:AG58),"road",AE58=MAX(AD58:AG58),"safety",AF58=MAX(AD58:AG58),"waste",AG58=MAX(AD58:AG58),"water")</f>
        <v>road</v>
      </c>
      <c r="AD58" s="1">
        <f t="shared" si="78"/>
        <v>0.24805060086137723</v>
      </c>
      <c r="AE58" s="1">
        <f t="shared" si="53"/>
        <v>0.17282690925809174</v>
      </c>
      <c r="AF58" s="1">
        <f t="shared" si="54"/>
        <v>0.16093559839330135</v>
      </c>
      <c r="AG58" s="1">
        <f t="shared" si="55"/>
        <v>0.17314410569687907</v>
      </c>
      <c r="AI58" s="8">
        <f t="shared" si="56"/>
        <v>0</v>
      </c>
      <c r="AJ58" t="str" cm="1">
        <f t="array" ref="AJ58">_xlfn.IFS(AK58=MAX(AK58:AN58),"road",AL58=MAX(AK58:AN58),"safety",AM58=MAX(AK58:AN58),"waste",AN58=MAX(AK58:AN58),"water")</f>
        <v>road</v>
      </c>
      <c r="AK58" s="2">
        <f t="shared" si="61"/>
        <v>0.21731732441582907</v>
      </c>
      <c r="AL58" s="2">
        <f t="shared" si="62"/>
        <v>0.15025415871299197</v>
      </c>
      <c r="AM58" s="2">
        <f t="shared" si="63"/>
        <v>0.15053274932513119</v>
      </c>
      <c r="AN58" s="2">
        <f t="shared" si="64"/>
        <v>0.12351485523228366</v>
      </c>
      <c r="AO58" s="8">
        <f t="shared" si="23"/>
        <v>0</v>
      </c>
      <c r="AP58" t="str" cm="1">
        <f t="array" ref="AP58">_xlfn.IFS(AQ58=MAX(AQ58:AT58),"road",AR58=MAX(AQ58:AT58),"safety",AS58=MAX(AQ58:AT58),"waste",AT58=MAX(AQ58:AT58),"water")</f>
        <v>road</v>
      </c>
      <c r="AQ58" s="2">
        <f t="shared" si="65"/>
        <v>0.23151389413728543</v>
      </c>
      <c r="AR58" s="2">
        <f t="shared" si="66"/>
        <v>0.15554421833228257</v>
      </c>
      <c r="AS58" s="2">
        <f t="shared" si="67"/>
        <v>0.13143073868786276</v>
      </c>
      <c r="AT58" s="2">
        <f t="shared" si="68"/>
        <v>0.13274381436760729</v>
      </c>
      <c r="AU58" s="2"/>
      <c r="AW58" s="10">
        <f t="shared" si="57"/>
        <v>0</v>
      </c>
      <c r="AX58" s="2">
        <f t="shared" si="58"/>
        <v>0.44883121855311447</v>
      </c>
      <c r="AY58" t="str" cm="1">
        <f t="array" ref="AY58">_xlfn.IFS(AZ58=MAX(AZ58:BC58),"road",BA58=MAX(AZ58:BC58),"safety",BB58=MAX(AZ58:BC58),"waste",BC58=MAX(AZ58:BC58),"water")</f>
        <v>road</v>
      </c>
      <c r="AZ58" s="2">
        <f t="shared" si="28"/>
        <v>0.44883121855311447</v>
      </c>
      <c r="BA58" s="2">
        <f t="shared" si="29"/>
        <v>0.30579837704527457</v>
      </c>
      <c r="BB58" s="2">
        <f t="shared" si="30"/>
        <v>0.28196348801299398</v>
      </c>
      <c r="BC58" s="2">
        <f t="shared" si="31"/>
        <v>0.25625866959989096</v>
      </c>
      <c r="BD58" s="2"/>
      <c r="BF58" s="2">
        <f t="shared" si="32"/>
        <v>0.58345895180569896</v>
      </c>
      <c r="BG58" s="2">
        <f t="shared" si="33"/>
        <v>0.472347762448522</v>
      </c>
      <c r="BH58" s="2">
        <f t="shared" si="34"/>
        <v>0.48182837432929199</v>
      </c>
      <c r="BI58" s="2">
        <f t="shared" si="35"/>
        <v>0.46236491141648295</v>
      </c>
      <c r="BK58" s="7">
        <f t="shared" si="59"/>
        <v>0</v>
      </c>
      <c r="BL58" t="str" cm="1">
        <f t="array" ref="BL58">_xlfn.IFS(BO58=MAX(BO58:BV58),"road",BR58=MAX(BO58:BV58),"water",BT58=MAX(BO58:BV58),"safety",BU58=MAX(BO58:BV58),"waste",BV58=MAX(BO58:BV58),"water")</f>
        <v>road</v>
      </c>
      <c r="BM58">
        <f t="shared" si="60"/>
        <v>0</v>
      </c>
      <c r="BN58" t="str" cm="1">
        <f t="array" ref="BN58">_xlfn.IFS(BO58=MAX(BO58:BR58),"road",BP58=MAX(BO58:BR58),"safety",BQ58=MAX(BO58:BR58),"waste",BR58=MAX(BO58:BR58),"water")</f>
        <v>road</v>
      </c>
      <c r="BO58" s="1">
        <f t="shared" si="36"/>
        <v>2.7936641615128153</v>
      </c>
      <c r="BP58" s="1">
        <f t="shared" si="37"/>
        <v>1.7076132948545859</v>
      </c>
      <c r="BQ58" s="1">
        <f t="shared" si="38"/>
        <v>2.0607855149086283</v>
      </c>
      <c r="BR58" s="1">
        <f t="shared" si="39"/>
        <v>1.6126214174427749</v>
      </c>
      <c r="BS58" s="1">
        <f t="shared" si="40"/>
        <v>2.4069600083583773</v>
      </c>
      <c r="BT58" s="1">
        <f t="shared" si="41"/>
        <v>0.92174351604315596</v>
      </c>
      <c r="BU58" s="1">
        <f t="shared" si="42"/>
        <v>0.72421019276985599</v>
      </c>
      <c r="BV58" s="1">
        <f t="shared" si="43"/>
        <v>0.82449574141370996</v>
      </c>
      <c r="BX58" s="1"/>
      <c r="BY58" s="1"/>
      <c r="BZ58" s="1"/>
      <c r="CA58" s="1"/>
    </row>
    <row r="59" spans="1:79" x14ac:dyDescent="0.25">
      <c r="A59" t="s">
        <v>74</v>
      </c>
      <c r="B59" s="6" t="s">
        <v>24</v>
      </c>
      <c r="C59" t="s">
        <v>24</v>
      </c>
      <c r="D59" t="s">
        <v>15</v>
      </c>
      <c r="E59" t="s">
        <v>24</v>
      </c>
      <c r="F59" t="s">
        <v>17</v>
      </c>
      <c r="G59" s="3">
        <v>0.22714618022278801</v>
      </c>
      <c r="H59" s="3">
        <v>0.33019574746639302</v>
      </c>
      <c r="I59" s="3">
        <v>0.26296537137355203</v>
      </c>
      <c r="J59" s="3">
        <v>0.179692700937266</v>
      </c>
      <c r="K59" s="3">
        <v>0.21021822237236401</v>
      </c>
      <c r="L59" s="3">
        <v>0.287490010115588</v>
      </c>
      <c r="M59" s="3">
        <v>0.28779066465256398</v>
      </c>
      <c r="N59" s="3">
        <v>0.21450110285948201</v>
      </c>
      <c r="O59" s="11">
        <f t="shared" si="8"/>
        <v>0.33019574746639302</v>
      </c>
      <c r="Q59">
        <f t="shared" si="50"/>
        <v>1</v>
      </c>
      <c r="R59" t="str" cm="1">
        <f t="array" ref="R59">_xlfn.IFS(S59=MAX(S59:V59),"road",T59=MAX(S59:V59),"safety",U59=MAX(S59:V59),"waste",V59=MAX(S59:V59),"water")</f>
        <v>safety</v>
      </c>
      <c r="S59" s="1">
        <f t="shared" si="69"/>
        <v>0.17793117450785062</v>
      </c>
      <c r="T59" s="1">
        <f t="shared" si="70"/>
        <v>0.23664028568424833</v>
      </c>
      <c r="U59" s="1">
        <f t="shared" si="71"/>
        <v>0.20160678471972321</v>
      </c>
      <c r="V59" s="1">
        <f t="shared" si="72"/>
        <v>0.13177464735399508</v>
      </c>
      <c r="W59" s="1"/>
      <c r="X59" s="1">
        <f t="shared" si="73"/>
        <v>0.18569276309558821</v>
      </c>
      <c r="Y59" s="1">
        <f t="shared" si="74"/>
        <v>0.21561750758669102</v>
      </c>
      <c r="Z59" s="1">
        <f t="shared" si="75"/>
        <v>0.19186044310170933</v>
      </c>
      <c r="AA59" s="1">
        <f t="shared" si="76"/>
        <v>0.1501507720016374</v>
      </c>
      <c r="AB59" s="8">
        <f t="shared" si="51"/>
        <v>1</v>
      </c>
      <c r="AC59" t="str" cm="1">
        <f t="array" ref="AC59">_xlfn.IFS(AD59=MAX(AD59:AG59),"road",AE59=MAX(AD59:AG59),"safety",AF59=MAX(AD59:AG59),"waste",AG59=MAX(AD59:AG59),"water")</f>
        <v>safety</v>
      </c>
      <c r="AD59" s="1">
        <f t="shared" si="78"/>
        <v>0.18569276309558821</v>
      </c>
      <c r="AE59" s="1">
        <f t="shared" si="53"/>
        <v>0.21561750758669102</v>
      </c>
      <c r="AF59" s="1">
        <f t="shared" si="54"/>
        <v>0.19186044310170933</v>
      </c>
      <c r="AG59" s="1">
        <f t="shared" si="55"/>
        <v>0.1501507720016374</v>
      </c>
      <c r="AI59" s="8">
        <f t="shared" si="56"/>
        <v>1</v>
      </c>
      <c r="AJ59" t="str" cm="1">
        <f t="array" ref="AJ59">_xlfn.IFS(AK59=MAX(AK59:AN59),"road",AL59=MAX(AK59:AN59),"safety",AM59=MAX(AK59:AN59),"waste",AN59=MAX(AK59:AN59),"water")</f>
        <v>safety</v>
      </c>
      <c r="AK59" s="2">
        <f t="shared" si="61"/>
        <v>0.16310357663219641</v>
      </c>
      <c r="AL59" s="2">
        <f t="shared" si="62"/>
        <v>0.20508824759301522</v>
      </c>
      <c r="AM59" s="2">
        <f t="shared" si="63"/>
        <v>0.16464554085444061</v>
      </c>
      <c r="AN59" s="2">
        <f t="shared" si="64"/>
        <v>0.10322347376062947</v>
      </c>
      <c r="AO59" s="8">
        <f t="shared" si="23"/>
        <v>1</v>
      </c>
      <c r="AP59" t="str" cm="1">
        <f t="array" ref="AP59">_xlfn.IFS(AQ59=MAX(AQ59:AT59),"road",AR59=MAX(AQ59:AT59),"safety",AS59=MAX(AQ59:AT59),"waste",AT59=MAX(AQ59:AT59),"water")</f>
        <v>safety</v>
      </c>
      <c r="AQ59" s="2">
        <f t="shared" si="65"/>
        <v>0.17331324555588234</v>
      </c>
      <c r="AR59" s="2">
        <f t="shared" si="66"/>
        <v>0.19405575682802192</v>
      </c>
      <c r="AS59" s="2">
        <f t="shared" si="67"/>
        <v>0.15668602853306263</v>
      </c>
      <c r="AT59" s="2">
        <f t="shared" si="68"/>
        <v>0.115115591867922</v>
      </c>
      <c r="AU59" s="2"/>
      <c r="AW59" s="10">
        <f t="shared" si="57"/>
        <v>1</v>
      </c>
      <c r="AX59" s="2">
        <f t="shared" si="58"/>
        <v>0.39914400442103715</v>
      </c>
      <c r="AY59" t="str" cm="1">
        <f t="array" ref="AY59">_xlfn.IFS(AZ59=MAX(AZ59:BC59),"road",BA59=MAX(AZ59:BC59),"safety",BB59=MAX(AZ59:BC59),"waste",BC59=MAX(AZ59:BC59),"water")</f>
        <v>safety</v>
      </c>
      <c r="AZ59" s="2">
        <f t="shared" si="28"/>
        <v>0.33641682218807878</v>
      </c>
      <c r="BA59" s="2">
        <f t="shared" si="29"/>
        <v>0.39914400442103715</v>
      </c>
      <c r="BB59" s="2">
        <f t="shared" si="30"/>
        <v>0.32133156938750324</v>
      </c>
      <c r="BC59" s="2">
        <f t="shared" si="31"/>
        <v>0.21833906562855149</v>
      </c>
      <c r="BD59" s="2"/>
      <c r="BF59" s="2">
        <f t="shared" si="32"/>
        <v>0.43736440259515202</v>
      </c>
      <c r="BG59" s="2">
        <f t="shared" si="33"/>
        <v>0.61768575758198097</v>
      </c>
      <c r="BH59" s="2">
        <f t="shared" si="34"/>
        <v>0.550756036026116</v>
      </c>
      <c r="BI59" s="2">
        <f t="shared" si="35"/>
        <v>0.39419380379674801</v>
      </c>
      <c r="BK59" s="7" t="e">
        <f t="shared" si="59"/>
        <v>#N/A</v>
      </c>
      <c r="BL59" t="e" cm="1">
        <f t="array" ref="BL59">_xlfn.IFS(BO59=MAX(BO59:BV59),"road",BR59=MAX(BO59:BV59),"water",BT59=MAX(BO59:BV59),"safety",BU59=MAX(BO59:BV59),"waste",BV59=MAX(BO59:BV59),"water")</f>
        <v>#N/A</v>
      </c>
      <c r="BM59">
        <f t="shared" si="60"/>
        <v>1</v>
      </c>
      <c r="BN59" t="str" cm="1">
        <f t="array" ref="BN59">_xlfn.IFS(BO59=MAX(BO59:BR59),"road",BP59=MAX(BO59:BR59),"safety",BQ59=MAX(BO59:BR59),"waste",BR59=MAX(BO59:BR59),"water")</f>
        <v>safety</v>
      </c>
      <c r="BO59" s="1">
        <f t="shared" si="36"/>
        <v>2.0967339712872737</v>
      </c>
      <c r="BP59" s="1">
        <f t="shared" si="37"/>
        <v>2.3307935115274803</v>
      </c>
      <c r="BQ59" s="1">
        <f t="shared" si="38"/>
        <v>2.2539888974875888</v>
      </c>
      <c r="BR59" s="1">
        <f t="shared" si="39"/>
        <v>1.3476952570294951</v>
      </c>
      <c r="BS59" s="1">
        <f t="shared" si="40"/>
        <v>1.8018704774774057</v>
      </c>
      <c r="BT59" s="1">
        <f t="shared" si="41"/>
        <v>1.149960040462352</v>
      </c>
      <c r="BU59" s="1">
        <f t="shared" si="42"/>
        <v>0.86337199395769193</v>
      </c>
      <c r="BV59" s="1">
        <f t="shared" si="43"/>
        <v>0.71500367619827343</v>
      </c>
      <c r="BX59" s="1"/>
      <c r="BY59" s="1"/>
      <c r="BZ59" s="1"/>
      <c r="CA59" s="1"/>
    </row>
    <row r="60" spans="1:79" x14ac:dyDescent="0.25">
      <c r="A60" t="s">
        <v>75</v>
      </c>
      <c r="B60" s="6" t="s">
        <v>24</v>
      </c>
      <c r="C60" t="s">
        <v>24</v>
      </c>
      <c r="D60" t="s">
        <v>15</v>
      </c>
      <c r="E60" t="s">
        <v>24</v>
      </c>
      <c r="F60" t="s">
        <v>17</v>
      </c>
      <c r="G60" s="3">
        <v>0.235924629661483</v>
      </c>
      <c r="H60" s="3">
        <v>0.31005870317567102</v>
      </c>
      <c r="I60" s="3">
        <v>0.28356646900691301</v>
      </c>
      <c r="J60" s="3">
        <v>0.17045019815593099</v>
      </c>
      <c r="K60" s="3">
        <v>0.21147612809312799</v>
      </c>
      <c r="L60" s="3">
        <v>0.29938180676575599</v>
      </c>
      <c r="M60" s="3">
        <v>0.30215277716684102</v>
      </c>
      <c r="N60" s="3">
        <v>0.186989287974273</v>
      </c>
      <c r="O60" s="11">
        <f t="shared" si="8"/>
        <v>0.31005870317567102</v>
      </c>
      <c r="Q60">
        <f t="shared" si="50"/>
        <v>1</v>
      </c>
      <c r="R60" t="str" cm="1">
        <f t="array" ref="R60">_xlfn.IFS(S60=MAX(S60:V60),"road",T60=MAX(S60:V60),"safety",U60=MAX(S60:V60),"waste",V60=MAX(S60:V60),"water")</f>
        <v>safety</v>
      </c>
      <c r="S60" s="1">
        <f t="shared" si="69"/>
        <v>0.18480762656816169</v>
      </c>
      <c r="T60" s="1">
        <f t="shared" si="70"/>
        <v>0.22220873727589757</v>
      </c>
      <c r="U60" s="1">
        <f t="shared" si="71"/>
        <v>0.21740095957196662</v>
      </c>
      <c r="V60" s="1">
        <f t="shared" si="72"/>
        <v>0.12499681198101607</v>
      </c>
      <c r="W60" s="1"/>
      <c r="X60" s="1">
        <f t="shared" si="73"/>
        <v>0.18680391314892972</v>
      </c>
      <c r="Y60" s="1">
        <f t="shared" si="74"/>
        <v>0.22453635507431699</v>
      </c>
      <c r="Z60" s="1">
        <f t="shared" si="75"/>
        <v>0.20143518477789404</v>
      </c>
      <c r="AA60" s="1">
        <f t="shared" si="76"/>
        <v>0.13089250158199109</v>
      </c>
      <c r="AB60" s="8">
        <f t="shared" si="51"/>
        <v>1</v>
      </c>
      <c r="AC60" t="str" cm="1">
        <f t="array" ref="AC60">_xlfn.IFS(AD60=MAX(AD60:AG60),"road",AE60=MAX(AD60:AG60),"safety",AF60=MAX(AD60:AG60),"waste",AG60=MAX(AD60:AG60),"water")</f>
        <v>safety</v>
      </c>
      <c r="AD60" s="1">
        <f t="shared" si="78"/>
        <v>0.18680391314892972</v>
      </c>
      <c r="AE60" s="1">
        <f t="shared" si="53"/>
        <v>0.22453635507431699</v>
      </c>
      <c r="AF60" s="1">
        <f t="shared" si="54"/>
        <v>0.20143518477789404</v>
      </c>
      <c r="AG60" s="1">
        <f t="shared" si="55"/>
        <v>0.13089250158199109</v>
      </c>
      <c r="AI60" s="8">
        <f t="shared" si="56"/>
        <v>1</v>
      </c>
      <c r="AJ60" t="str" cm="1">
        <f t="array" ref="AJ60">_xlfn.IFS(AK60=MAX(AK60:AN60),"road",AL60=MAX(AK60:AN60),"safety",AM60=MAX(AK60:AN60),"waste",AN60=MAX(AK60:AN60),"water")</f>
        <v>safety</v>
      </c>
      <c r="AK60" s="2">
        <f t="shared" si="61"/>
        <v>0.16940699102081488</v>
      </c>
      <c r="AL60" s="2">
        <f t="shared" si="62"/>
        <v>0.19258090563911123</v>
      </c>
      <c r="AM60" s="2">
        <f t="shared" si="63"/>
        <v>0.17754411698377273</v>
      </c>
      <c r="AN60" s="2">
        <f t="shared" si="64"/>
        <v>9.7914169385129257E-2</v>
      </c>
      <c r="AO60" s="8">
        <f t="shared" si="23"/>
        <v>1</v>
      </c>
      <c r="AP60" t="str" cm="1">
        <f t="array" ref="AP60">_xlfn.IFS(AQ60=MAX(AQ60:AT60),"road",AR60=MAX(AQ60:AT60),"safety",AS60=MAX(AQ60:AT60),"waste",AT60=MAX(AQ60:AT60),"water")</f>
        <v>safety</v>
      </c>
      <c r="AQ60" s="2">
        <f t="shared" si="65"/>
        <v>0.17435031893900108</v>
      </c>
      <c r="AR60" s="2">
        <f t="shared" si="66"/>
        <v>0.20208271956688528</v>
      </c>
      <c r="AS60" s="2">
        <f t="shared" si="67"/>
        <v>0.16450540090194679</v>
      </c>
      <c r="AT60" s="2">
        <f t="shared" si="68"/>
        <v>0.10035091787952649</v>
      </c>
      <c r="AU60" s="2"/>
      <c r="AW60" s="10">
        <f t="shared" si="57"/>
        <v>1</v>
      </c>
      <c r="AX60" s="2">
        <f t="shared" si="58"/>
        <v>0.39466362520599652</v>
      </c>
      <c r="AY60" t="str" cm="1">
        <f t="array" ref="AY60">_xlfn.IFS(AZ60=MAX(AZ60:BC60),"road",BA60=MAX(AZ60:BC60),"safety",BB60=MAX(AZ60:BC60),"waste",BC60=MAX(AZ60:BC60),"water")</f>
        <v>safety</v>
      </c>
      <c r="AZ60" s="2">
        <f t="shared" si="28"/>
        <v>0.34375730995981596</v>
      </c>
      <c r="BA60" s="2">
        <f t="shared" si="29"/>
        <v>0.39466362520599652</v>
      </c>
      <c r="BB60" s="2">
        <f t="shared" si="30"/>
        <v>0.34204951788571952</v>
      </c>
      <c r="BC60" s="2">
        <f t="shared" si="31"/>
        <v>0.19826508726465575</v>
      </c>
      <c r="BD60" s="2"/>
      <c r="BF60" s="2">
        <f t="shared" si="32"/>
        <v>0.44740075775461097</v>
      </c>
      <c r="BG60" s="2">
        <f t="shared" si="33"/>
        <v>0.60944050994142707</v>
      </c>
      <c r="BH60" s="2">
        <f t="shared" si="34"/>
        <v>0.58571924617375404</v>
      </c>
      <c r="BI60" s="2">
        <f t="shared" si="35"/>
        <v>0.35743948613020399</v>
      </c>
      <c r="BK60" s="7" t="e">
        <f t="shared" si="59"/>
        <v>#N/A</v>
      </c>
      <c r="BL60" t="e" cm="1">
        <f t="array" ref="BL60">_xlfn.IFS(BO60=MAX(BO60:BV60),"road",BR60=MAX(BO60:BV60),"water",BT60=MAX(BO60:BV60),"safety",BU60=MAX(BO60:BV60),"waste",BV60=MAX(BO60:BV60),"water")</f>
        <v>#N/A</v>
      </c>
      <c r="BM60">
        <f t="shared" si="60"/>
        <v>0</v>
      </c>
      <c r="BN60" t="str" cm="1">
        <f t="array" ref="BN60">_xlfn.IFS(BO60=MAX(BO60:BR60),"road",BP60=MAX(BO60:BR60),"safety",BQ60=MAX(BO60:BR60),"waste",BR60=MAX(BO60:BR60),"water")</f>
        <v>waste</v>
      </c>
      <c r="BO60" s="1">
        <f t="shared" si="36"/>
        <v>2.1777658122598429</v>
      </c>
      <c r="BP60" s="1">
        <f t="shared" si="37"/>
        <v>2.1886496694753248</v>
      </c>
      <c r="BQ60" s="1">
        <f t="shared" si="38"/>
        <v>2.4305697343449686</v>
      </c>
      <c r="BR60" s="1">
        <f t="shared" si="39"/>
        <v>1.2783764861694824</v>
      </c>
      <c r="BS60" s="1">
        <f t="shared" si="40"/>
        <v>1.8126525265125255</v>
      </c>
      <c r="BT60" s="1">
        <f t="shared" si="41"/>
        <v>1.1975272270630239</v>
      </c>
      <c r="BU60" s="1">
        <f t="shared" si="42"/>
        <v>0.90645833150052313</v>
      </c>
      <c r="BV60" s="1">
        <f t="shared" si="43"/>
        <v>0.62329762658091004</v>
      </c>
      <c r="BX60" s="1"/>
      <c r="BY60" s="1"/>
      <c r="BZ60" s="1"/>
      <c r="CA60" s="1"/>
    </row>
    <row r="61" spans="1:79" x14ac:dyDescent="0.25">
      <c r="A61" t="s">
        <v>76</v>
      </c>
      <c r="B61" s="6" t="s">
        <v>24</v>
      </c>
      <c r="C61" t="s">
        <v>3</v>
      </c>
      <c r="D61" t="s">
        <v>15</v>
      </c>
      <c r="E61" t="s">
        <v>3</v>
      </c>
      <c r="F61" t="s">
        <v>3</v>
      </c>
      <c r="G61" s="3">
        <v>0.33666593368013797</v>
      </c>
      <c r="H61" s="3">
        <v>0.28772270699591601</v>
      </c>
      <c r="I61" s="3">
        <v>0.22283180450182999</v>
      </c>
      <c r="J61" s="3">
        <v>0.152779554822114</v>
      </c>
      <c r="K61" s="3">
        <v>0.28723564429923398</v>
      </c>
      <c r="L61" s="3">
        <v>0.26910153142207399</v>
      </c>
      <c r="M61" s="2">
        <v>0.261005684147956</v>
      </c>
      <c r="N61" s="3">
        <v>0.182657140130735</v>
      </c>
      <c r="O61" s="11">
        <f t="shared" si="8"/>
        <v>0.33666593368013797</v>
      </c>
      <c r="Q61">
        <f t="shared" si="50"/>
        <v>0</v>
      </c>
      <c r="R61" t="str" cm="1">
        <f t="array" ref="R61">_xlfn.IFS(S61=MAX(S61:V61),"road",T61=MAX(S61:V61),"safety",U61=MAX(S61:V61),"waste",V61=MAX(S61:V61),"water")</f>
        <v>road</v>
      </c>
      <c r="S61" s="1">
        <f t="shared" si="69"/>
        <v>0.26372164804944143</v>
      </c>
      <c r="T61" s="1">
        <f t="shared" si="70"/>
        <v>0.20620127334707314</v>
      </c>
      <c r="U61" s="1">
        <f t="shared" si="71"/>
        <v>0.1708377167847363</v>
      </c>
      <c r="V61" s="1">
        <f t="shared" si="72"/>
        <v>0.11203834020288361</v>
      </c>
      <c r="W61" s="1"/>
      <c r="X61" s="1">
        <f t="shared" si="73"/>
        <v>0.25372481913098999</v>
      </c>
      <c r="Y61" s="1">
        <f t="shared" si="74"/>
        <v>0.20182614856655551</v>
      </c>
      <c r="Z61" s="1">
        <f t="shared" si="75"/>
        <v>0.17400378943197067</v>
      </c>
      <c r="AA61" s="1">
        <f t="shared" si="76"/>
        <v>0.12785999809151449</v>
      </c>
      <c r="AB61" s="8">
        <f t="shared" si="51"/>
        <v>0</v>
      </c>
      <c r="AC61" t="str" cm="1">
        <f t="array" ref="AC61">_xlfn.IFS(AD61=MAX(AD61:AG61),"road",AE61=MAX(AD61:AG61),"safety",AF61=MAX(AD61:AG61),"waste",AG61=MAX(AD61:AG61),"water")</f>
        <v>road</v>
      </c>
      <c r="AD61" s="1">
        <f>SUM(S61*Q124,X61)</f>
        <v>0.25372481913098999</v>
      </c>
      <c r="AE61" s="1">
        <f t="shared" si="53"/>
        <v>0.20182614856655551</v>
      </c>
      <c r="AF61" s="1">
        <f t="shared" si="54"/>
        <v>0.17400378943197067</v>
      </c>
      <c r="AG61" s="1">
        <f t="shared" si="55"/>
        <v>0.12785999809151449</v>
      </c>
      <c r="AI61" s="8">
        <f t="shared" si="56"/>
        <v>0</v>
      </c>
      <c r="AJ61" t="str" cm="1">
        <f t="array" ref="AJ61">_xlfn.IFS(AK61=MAX(AK61:AN61),"road",AL61=MAX(AK61:AN61),"safety",AM61=MAX(AK61:AN61),"waste",AN61=MAX(AK61:AN61),"water")</f>
        <v>road</v>
      </c>
      <c r="AK61" s="2">
        <f t="shared" si="61"/>
        <v>0.24174484404532129</v>
      </c>
      <c r="AL61" s="2">
        <f t="shared" si="62"/>
        <v>0.17870777023413006</v>
      </c>
      <c r="AM61" s="2">
        <f t="shared" si="63"/>
        <v>0.13951746870753465</v>
      </c>
      <c r="AN61" s="2">
        <f t="shared" si="64"/>
        <v>8.7763366492258826E-2</v>
      </c>
      <c r="AO61" s="8">
        <f t="shared" si="23"/>
        <v>0</v>
      </c>
      <c r="AP61" t="str" cm="1">
        <f t="array" ref="AP61">_xlfn.IFS(AQ61=MAX(AQ61:AT61),"road",AR61=MAX(AQ61:AT61),"safety",AS61=MAX(AQ61:AT61),"waste",AT61=MAX(AQ61:AT61),"water")</f>
        <v>road</v>
      </c>
      <c r="AQ61" s="2">
        <f t="shared" si="65"/>
        <v>0.23680983118892399</v>
      </c>
      <c r="AR61" s="2">
        <f t="shared" si="66"/>
        <v>0.18164353370989997</v>
      </c>
      <c r="AS61" s="2">
        <f t="shared" si="67"/>
        <v>0.14210309470277604</v>
      </c>
      <c r="AT61" s="2">
        <f t="shared" si="68"/>
        <v>9.8025998536827766E-2</v>
      </c>
      <c r="AU61" s="2"/>
      <c r="AW61" s="10">
        <f t="shared" si="57"/>
        <v>0</v>
      </c>
      <c r="AX61" s="2">
        <f t="shared" si="58"/>
        <v>0.47855467523424527</v>
      </c>
      <c r="AY61" t="str" cm="1">
        <f t="array" ref="AY61">_xlfn.IFS(AZ61=MAX(AZ61:BC61),"road",BA61=MAX(AZ61:BC61),"safety",BB61=MAX(AZ61:BC61),"waste",BC61=MAX(AZ61:BC61),"water")</f>
        <v>road</v>
      </c>
      <c r="AZ61" s="2">
        <f t="shared" si="28"/>
        <v>0.47855467523424527</v>
      </c>
      <c r="BA61" s="2">
        <f t="shared" si="29"/>
        <v>0.36035130394403003</v>
      </c>
      <c r="BB61" s="2">
        <f t="shared" si="30"/>
        <v>0.28162056341031072</v>
      </c>
      <c r="BC61" s="2">
        <f t="shared" si="31"/>
        <v>0.18578936502908661</v>
      </c>
      <c r="BD61" s="2"/>
      <c r="BF61" s="2">
        <f t="shared" si="32"/>
        <v>0.62390157797937196</v>
      </c>
      <c r="BG61" s="2">
        <f t="shared" si="33"/>
        <v>0.55682423841799</v>
      </c>
      <c r="BH61" s="2">
        <f t="shared" si="34"/>
        <v>0.48383748864978599</v>
      </c>
      <c r="BI61" s="2">
        <f t="shared" si="35"/>
        <v>0.335436694952849</v>
      </c>
      <c r="BK61" s="7">
        <f t="shared" si="59"/>
        <v>0</v>
      </c>
      <c r="BL61" t="str" cm="1">
        <f t="array" ref="BL61">_xlfn.IFS(BO61=MAX(BO61:BV61),"road",BR61=MAX(BO61:BV61),"water",BT61=MAX(BO61:BV61),"safety",BU61=MAX(BO61:BV61),"waste",BV61=MAX(BO61:BV61),"water")</f>
        <v>road</v>
      </c>
      <c r="BM61">
        <f t="shared" si="60"/>
        <v>0</v>
      </c>
      <c r="BN61" t="str" cm="1">
        <f t="array" ref="BN61">_xlfn.IFS(BO61=MAX(BO61:BR61),"road",BP61=MAX(BO61:BR61),"safety",BQ61=MAX(BO61:BR61),"waste",BR61=MAX(BO61:BR61),"water")</f>
        <v>road</v>
      </c>
      <c r="BO61" s="1">
        <f t="shared" si="36"/>
        <v>3.107685541662812</v>
      </c>
      <c r="BP61" s="1">
        <f t="shared" si="37"/>
        <v>2.030983814088819</v>
      </c>
      <c r="BQ61" s="1">
        <f t="shared" si="38"/>
        <v>1.9099868957299713</v>
      </c>
      <c r="BR61" s="1">
        <f t="shared" si="39"/>
        <v>1.1458466611658551</v>
      </c>
      <c r="BS61" s="1">
        <f t="shared" si="40"/>
        <v>2.4620198082791482</v>
      </c>
      <c r="BT61" s="1">
        <f t="shared" si="41"/>
        <v>1.076406125688296</v>
      </c>
      <c r="BU61" s="1">
        <f t="shared" si="42"/>
        <v>0.78301705244386799</v>
      </c>
      <c r="BV61" s="1">
        <f t="shared" si="43"/>
        <v>0.60885713376911665</v>
      </c>
      <c r="BX61" s="1"/>
      <c r="BY61" s="1"/>
      <c r="BZ61" s="1"/>
      <c r="CA61" s="1"/>
    </row>
    <row r="62" spans="1:79" x14ac:dyDescent="0.25">
      <c r="A62" t="s">
        <v>77</v>
      </c>
      <c r="B62" s="6" t="s">
        <v>24</v>
      </c>
      <c r="C62" t="s">
        <v>24</v>
      </c>
      <c r="D62" t="s">
        <v>15</v>
      </c>
      <c r="E62" t="s">
        <v>24</v>
      </c>
      <c r="F62" t="s">
        <v>24</v>
      </c>
      <c r="G62" s="3">
        <v>0.25164216721310401</v>
      </c>
      <c r="H62" s="3">
        <v>0.368953927907132</v>
      </c>
      <c r="I62" s="3">
        <v>0.18992719942767899</v>
      </c>
      <c r="J62" s="3">
        <v>0.18947670545208301</v>
      </c>
      <c r="K62" s="3">
        <v>0.22155354730235899</v>
      </c>
      <c r="L62" s="3">
        <v>0.35679238407163899</v>
      </c>
      <c r="M62" s="3">
        <v>0.200352904063724</v>
      </c>
      <c r="N62" s="3">
        <v>0.221301164562275</v>
      </c>
      <c r="O62" s="11">
        <f t="shared" si="8"/>
        <v>0.368953927907132</v>
      </c>
      <c r="Q62">
        <f t="shared" si="50"/>
        <v>1</v>
      </c>
      <c r="R62" t="str" cm="1">
        <f t="array" ref="R62">_xlfn.IFS(S62=MAX(S62:V62),"road",T62=MAX(S62:V62),"safety",U62=MAX(S62:V62),"waste",V62=MAX(S62:V62),"water")</f>
        <v>safety</v>
      </c>
      <c r="S62" s="1">
        <f t="shared" si="69"/>
        <v>0.1971196976502648</v>
      </c>
      <c r="T62" s="1">
        <f t="shared" si="70"/>
        <v>0.26441698166677791</v>
      </c>
      <c r="U62" s="1">
        <f t="shared" si="71"/>
        <v>0.14561085289455389</v>
      </c>
      <c r="V62" s="1">
        <f t="shared" si="72"/>
        <v>0.13894958399819421</v>
      </c>
      <c r="W62" s="1"/>
      <c r="X62" s="1">
        <f t="shared" si="73"/>
        <v>0.19570563345041711</v>
      </c>
      <c r="Y62" s="1">
        <f t="shared" si="74"/>
        <v>0.26759428805372926</v>
      </c>
      <c r="Z62" s="1">
        <f t="shared" si="75"/>
        <v>0.13356860270914936</v>
      </c>
      <c r="AA62" s="1">
        <f t="shared" si="76"/>
        <v>0.15491081519359248</v>
      </c>
      <c r="AB62" s="8">
        <f t="shared" si="51"/>
        <v>1</v>
      </c>
      <c r="AC62" t="str" cm="1">
        <f t="array" ref="AC62">_xlfn.IFS(AD62=MAX(AD62:AG62),"road",AE62=MAX(AD62:AG62),"safety",AF62=MAX(AD62:AG62),"waste",AG62=MAX(AD62:AG62),"water")</f>
        <v>safety</v>
      </c>
      <c r="AD62" s="1">
        <f t="shared" ref="AD62" si="79">SUM(S62*Q125,X62)</f>
        <v>0.19570563345041711</v>
      </c>
      <c r="AE62" s="1">
        <f t="shared" si="53"/>
        <v>0.26759428805372926</v>
      </c>
      <c r="AF62" s="1">
        <f t="shared" si="54"/>
        <v>0.13356860270914936</v>
      </c>
      <c r="AG62" s="1">
        <f t="shared" si="55"/>
        <v>0.15491081519359248</v>
      </c>
      <c r="AI62" s="8">
        <f t="shared" si="56"/>
        <v>1</v>
      </c>
      <c r="AJ62" t="str" cm="1">
        <f t="array" ref="AJ62">_xlfn.IFS(AK62=MAX(AK62:AN62),"road",AL62=MAX(AK62:AN62),"safety",AM62=MAX(AK62:AN62),"waste",AN62=MAX(AK62:AN62),"water")</f>
        <v>safety</v>
      </c>
      <c r="AK62" s="2">
        <f t="shared" si="61"/>
        <v>0.18069305617940939</v>
      </c>
      <c r="AL62" s="2">
        <f t="shared" si="62"/>
        <v>0.22916138411120754</v>
      </c>
      <c r="AM62" s="2">
        <f t="shared" si="63"/>
        <v>0.11891552986388568</v>
      </c>
      <c r="AN62" s="2">
        <f t="shared" si="64"/>
        <v>0.10884384079858546</v>
      </c>
      <c r="AO62" s="8">
        <f t="shared" si="23"/>
        <v>1</v>
      </c>
      <c r="AP62" t="str" cm="1">
        <f t="array" ref="AP62">_xlfn.IFS(AQ62=MAX(AQ62:AT62),"road",AR62=MAX(AQ62:AT62),"safety",AS62=MAX(AQ62:AT62),"waste",AT62=MAX(AQ62:AT62),"water")</f>
        <v>safety</v>
      </c>
      <c r="AQ62" s="2">
        <f t="shared" si="65"/>
        <v>0.1826585912203893</v>
      </c>
      <c r="AR62" s="2">
        <f t="shared" si="66"/>
        <v>0.24083485924835635</v>
      </c>
      <c r="AS62" s="2">
        <f t="shared" si="67"/>
        <v>0.1090810255458053</v>
      </c>
      <c r="AT62" s="2">
        <f t="shared" si="68"/>
        <v>0.11876495831508756</v>
      </c>
      <c r="AU62" s="2"/>
      <c r="AW62" s="10">
        <f t="shared" si="57"/>
        <v>1</v>
      </c>
      <c r="AX62" s="2">
        <f t="shared" si="58"/>
        <v>0.46999624335956391</v>
      </c>
      <c r="AY62" t="str" cm="1">
        <f t="array" ref="AY62">_xlfn.IFS(AZ62=MAX(AZ62:BC62),"road",BA62=MAX(AZ62:BC62),"safety",BB62=MAX(AZ62:BC62),"waste",BC62=MAX(AZ62:BC62),"water")</f>
        <v>safety</v>
      </c>
      <c r="AZ62" s="2">
        <f t="shared" si="28"/>
        <v>0.36335164739979869</v>
      </c>
      <c r="BA62" s="2">
        <f t="shared" si="29"/>
        <v>0.46999624335956391</v>
      </c>
      <c r="BB62" s="2">
        <f t="shared" si="30"/>
        <v>0.22799655540969099</v>
      </c>
      <c r="BC62" s="2">
        <f t="shared" si="31"/>
        <v>0.22760879911367302</v>
      </c>
      <c r="BD62" s="2"/>
      <c r="BF62" s="2">
        <f t="shared" si="32"/>
        <v>0.473195714515463</v>
      </c>
      <c r="BG62" s="2">
        <f t="shared" si="33"/>
        <v>0.72574631197877104</v>
      </c>
      <c r="BH62" s="2">
        <f t="shared" si="34"/>
        <v>0.39028010349140296</v>
      </c>
      <c r="BI62" s="2">
        <f t="shared" si="35"/>
        <v>0.410777870014358</v>
      </c>
      <c r="BK62" s="7" t="e">
        <f t="shared" si="59"/>
        <v>#N/A</v>
      </c>
      <c r="BL62" t="e" cm="1">
        <f t="array" ref="BL62">_xlfn.IFS(BO62=MAX(BO62:BV62),"road",BR62=MAX(BO62:BV62),"water",BT62=MAX(BO62:BV62),"safety",BU62=MAX(BO62:BV62),"waste",BV62=MAX(BO62:BV62),"water")</f>
        <v>#N/A</v>
      </c>
      <c r="BM62">
        <f t="shared" si="60"/>
        <v>1</v>
      </c>
      <c r="BN62" t="str" cm="1">
        <f t="array" ref="BN62">_xlfn.IFS(BO62=MAX(BO62:BR62),"road",BP62=MAX(BO62:BR62),"safety",BQ62=MAX(BO62:BR62),"waste",BR62=MAX(BO62:BR62),"water")</f>
        <v>safety</v>
      </c>
      <c r="BO62" s="1">
        <f t="shared" si="36"/>
        <v>2.3228507742748064</v>
      </c>
      <c r="BP62" s="1">
        <f t="shared" si="37"/>
        <v>2.6043806675797554</v>
      </c>
      <c r="BQ62" s="1">
        <f t="shared" si="38"/>
        <v>1.62794742366582</v>
      </c>
      <c r="BR62" s="1">
        <f t="shared" si="39"/>
        <v>1.4210752908906226</v>
      </c>
      <c r="BS62" s="1">
        <f t="shared" si="40"/>
        <v>1.8990304054487912</v>
      </c>
      <c r="BT62" s="1">
        <f t="shared" si="41"/>
        <v>1.427169536286556</v>
      </c>
      <c r="BU62" s="1">
        <f t="shared" si="42"/>
        <v>0.60105871219117202</v>
      </c>
      <c r="BV62" s="1">
        <f t="shared" si="43"/>
        <v>0.73767054854091674</v>
      </c>
      <c r="BX62" s="1"/>
      <c r="BY62" s="1"/>
      <c r="BZ62" s="1"/>
      <c r="CA62" s="1"/>
    </row>
    <row r="63" spans="1:79" x14ac:dyDescent="0.25">
      <c r="F63" t="s">
        <v>80</v>
      </c>
      <c r="G63" t="s">
        <v>3</v>
      </c>
      <c r="H63" t="s">
        <v>24</v>
      </c>
      <c r="I63" t="s">
        <v>17</v>
      </c>
      <c r="J63" t="s">
        <v>22</v>
      </c>
      <c r="K63" t="s">
        <v>3</v>
      </c>
      <c r="L63" t="s">
        <v>24</v>
      </c>
      <c r="M63" t="s">
        <v>17</v>
      </c>
      <c r="N63" t="s">
        <v>22</v>
      </c>
      <c r="P63" s="8"/>
      <c r="Q63" s="8"/>
      <c r="R63" s="8">
        <f>SUM(Q3:Q62)</f>
        <v>39</v>
      </c>
      <c r="AC63">
        <f>SUM(AB:AB)</f>
        <v>39</v>
      </c>
      <c r="AJ63">
        <f>SUM(AI:AI)</f>
        <v>40</v>
      </c>
      <c r="AP63">
        <f>SUM(AO:AO)</f>
        <v>41</v>
      </c>
      <c r="AY63">
        <f>SUM(AW:AW)</f>
        <v>40</v>
      </c>
      <c r="BL63" s="8" t="e">
        <f>SUM(BK3:BK62)</f>
        <v>#N/A</v>
      </c>
      <c r="BM63" s="8"/>
      <c r="BN63" s="8">
        <f>SUM(BM3:BM62)</f>
        <v>38</v>
      </c>
    </row>
    <row r="64" spans="1:79" x14ac:dyDescent="0.25">
      <c r="E64">
        <f>SUM(G64:J64)</f>
        <v>60</v>
      </c>
      <c r="F64" t="s">
        <v>84</v>
      </c>
      <c r="G64">
        <v>13</v>
      </c>
      <c r="H64">
        <v>17</v>
      </c>
      <c r="I64">
        <v>14</v>
      </c>
      <c r="J64">
        <v>16</v>
      </c>
      <c r="K64">
        <v>7</v>
      </c>
      <c r="L64">
        <v>15</v>
      </c>
      <c r="M64">
        <v>20</v>
      </c>
      <c r="N64">
        <v>18</v>
      </c>
      <c r="O64" s="8"/>
    </row>
    <row r="65" spans="5:45" x14ac:dyDescent="0.25">
      <c r="E65">
        <f>SUM(K64:N64)</f>
        <v>60</v>
      </c>
      <c r="F65" t="s">
        <v>83</v>
      </c>
      <c r="G65">
        <v>5</v>
      </c>
      <c r="H65">
        <v>8</v>
      </c>
      <c r="I65">
        <v>11</v>
      </c>
      <c r="J65">
        <v>13</v>
      </c>
      <c r="K65">
        <v>4</v>
      </c>
      <c r="L65">
        <v>6</v>
      </c>
      <c r="M65">
        <v>11</v>
      </c>
      <c r="N65">
        <v>14</v>
      </c>
      <c r="O65" t="s">
        <v>111</v>
      </c>
      <c r="P65" t="s">
        <v>112</v>
      </c>
      <c r="Q65" t="s">
        <v>113</v>
      </c>
    </row>
    <row r="66" spans="5:45" x14ac:dyDescent="0.25">
      <c r="F66" t="s">
        <v>85</v>
      </c>
      <c r="G66" s="5">
        <f>G65/60</f>
        <v>8.3333333333333329E-2</v>
      </c>
      <c r="H66" s="5">
        <f t="shared" ref="H66:N66" si="80">H65/60</f>
        <v>0.13333333333333333</v>
      </c>
      <c r="I66" s="5">
        <f t="shared" si="80"/>
        <v>0.18333333333333332</v>
      </c>
      <c r="J66" s="5">
        <f t="shared" si="80"/>
        <v>0.21666666666666667</v>
      </c>
      <c r="K66" s="5">
        <f t="shared" si="80"/>
        <v>6.6666666666666666E-2</v>
      </c>
      <c r="L66" s="5">
        <f t="shared" si="80"/>
        <v>0.1</v>
      </c>
      <c r="M66" s="5">
        <f t="shared" si="80"/>
        <v>0.18333333333333332</v>
      </c>
      <c r="N66" s="5">
        <f t="shared" si="80"/>
        <v>0.23333333333333334</v>
      </c>
      <c r="O66" s="5">
        <f>SUM(K66:N66)</f>
        <v>0.58333333333333326</v>
      </c>
      <c r="P66" s="5">
        <f>SUM(G66:J66)</f>
        <v>0.6166666666666667</v>
      </c>
      <c r="Q66" s="9">
        <f>P66/O66</f>
        <v>1.0571428571428574</v>
      </c>
      <c r="AJ66">
        <f>40/60</f>
        <v>0.66666666666666663</v>
      </c>
      <c r="AN66">
        <f>41/60</f>
        <v>0.68333333333333335</v>
      </c>
    </row>
    <row r="67" spans="5:45" x14ac:dyDescent="0.25">
      <c r="F67" t="s">
        <v>87</v>
      </c>
      <c r="G67">
        <v>8</v>
      </c>
      <c r="H67">
        <v>9</v>
      </c>
      <c r="I67">
        <v>3</v>
      </c>
      <c r="J67">
        <v>3</v>
      </c>
      <c r="K67">
        <v>3</v>
      </c>
      <c r="L67">
        <v>9</v>
      </c>
      <c r="M67">
        <v>9</v>
      </c>
      <c r="N67">
        <v>4</v>
      </c>
    </row>
    <row r="68" spans="5:45" x14ac:dyDescent="0.25">
      <c r="F68" t="s">
        <v>86</v>
      </c>
      <c r="G68" s="5">
        <f>G67/30</f>
        <v>0.26666666666666666</v>
      </c>
      <c r="H68" s="5">
        <f>H67/30</f>
        <v>0.3</v>
      </c>
      <c r="I68" s="5">
        <f t="shared" ref="I68:N68" si="81">I67/30</f>
        <v>0.1</v>
      </c>
      <c r="J68" s="5">
        <f t="shared" si="81"/>
        <v>0.1</v>
      </c>
      <c r="K68" s="5">
        <f t="shared" si="81"/>
        <v>0.1</v>
      </c>
      <c r="L68" s="5">
        <f t="shared" si="81"/>
        <v>0.3</v>
      </c>
      <c r="M68" s="5">
        <f t="shared" si="81"/>
        <v>0.3</v>
      </c>
      <c r="N68" s="5">
        <f t="shared" si="81"/>
        <v>0.13333333333333333</v>
      </c>
      <c r="O68" s="5"/>
      <c r="AS68">
        <f>40/60</f>
        <v>0.66666666666666663</v>
      </c>
    </row>
    <row r="69" spans="5:45" x14ac:dyDescent="0.25">
      <c r="F69" t="s">
        <v>88</v>
      </c>
      <c r="G69">
        <v>10</v>
      </c>
      <c r="H69">
        <v>7</v>
      </c>
      <c r="I69">
        <v>4</v>
      </c>
      <c r="J69">
        <v>2</v>
      </c>
      <c r="K69">
        <v>11</v>
      </c>
      <c r="L69">
        <v>9</v>
      </c>
      <c r="M69">
        <v>4</v>
      </c>
      <c r="N69">
        <v>1</v>
      </c>
      <c r="U69">
        <f>40/60</f>
        <v>0.66666666666666663</v>
      </c>
    </row>
    <row r="71" spans="5:45" x14ac:dyDescent="0.25">
      <c r="F71" t="s">
        <v>89</v>
      </c>
      <c r="G71" s="4">
        <f>G69/G67</f>
        <v>1.25</v>
      </c>
      <c r="H71" s="4">
        <f t="shared" ref="H71:N71" si="82">H69/H67</f>
        <v>0.77777777777777779</v>
      </c>
      <c r="I71" s="4">
        <f t="shared" si="82"/>
        <v>1.3333333333333333</v>
      </c>
      <c r="J71" s="4">
        <f t="shared" si="82"/>
        <v>0.66666666666666663</v>
      </c>
      <c r="K71" s="4">
        <f t="shared" si="82"/>
        <v>3.6666666666666665</v>
      </c>
      <c r="L71" s="4">
        <f t="shared" si="82"/>
        <v>1</v>
      </c>
      <c r="M71" s="4">
        <f t="shared" si="82"/>
        <v>0.44444444444444442</v>
      </c>
      <c r="N71" s="4">
        <f t="shared" si="82"/>
        <v>0.25</v>
      </c>
      <c r="O71" s="4"/>
    </row>
    <row r="72" spans="5:45" x14ac:dyDescent="0.25">
      <c r="F72" t="s">
        <v>98</v>
      </c>
      <c r="G72" s="4">
        <f>(G69+G65)/G67</f>
        <v>1.875</v>
      </c>
      <c r="H72" s="4">
        <f t="shared" ref="H72:N72" si="83">(H69+H65)/H67</f>
        <v>1.6666666666666667</v>
      </c>
      <c r="I72" s="4">
        <f t="shared" si="83"/>
        <v>5</v>
      </c>
      <c r="J72" s="4">
        <f t="shared" si="83"/>
        <v>5</v>
      </c>
      <c r="K72" s="4">
        <f t="shared" si="83"/>
        <v>5</v>
      </c>
      <c r="L72" s="4">
        <f t="shared" si="83"/>
        <v>1.6666666666666667</v>
      </c>
      <c r="M72" s="4">
        <f t="shared" si="83"/>
        <v>1.6666666666666667</v>
      </c>
      <c r="N72" s="4">
        <f t="shared" si="83"/>
        <v>3.75</v>
      </c>
      <c r="O72" s="4"/>
    </row>
    <row r="73" spans="5:45" x14ac:dyDescent="0.25">
      <c r="F73" t="s">
        <v>90</v>
      </c>
      <c r="G73">
        <f>(((G69+G65)/G67)/30)*10</f>
        <v>0.625</v>
      </c>
      <c r="H73">
        <f t="shared" ref="H73:N73" si="84">(((H69+H65)/H67)/30)*10</f>
        <v>0.55555555555555558</v>
      </c>
      <c r="I73">
        <f t="shared" si="84"/>
        <v>1.6666666666666665</v>
      </c>
      <c r="J73">
        <f t="shared" si="84"/>
        <v>1.6666666666666665</v>
      </c>
      <c r="K73">
        <f t="shared" si="84"/>
        <v>1.6666666666666665</v>
      </c>
      <c r="L73">
        <f t="shared" si="84"/>
        <v>0.55555555555555558</v>
      </c>
      <c r="M73">
        <f t="shared" si="84"/>
        <v>0.55555555555555558</v>
      </c>
      <c r="N73">
        <f t="shared" si="84"/>
        <v>1.25</v>
      </c>
    </row>
    <row r="75" spans="5:45" x14ac:dyDescent="0.25">
      <c r="F75" t="s">
        <v>94</v>
      </c>
      <c r="G75" s="4">
        <f>((G65/G67))</f>
        <v>0.625</v>
      </c>
      <c r="H75" s="4">
        <f t="shared" ref="H75:N75" si="85">((H65/H67)/H69)*10</f>
        <v>1.2698412698412698</v>
      </c>
      <c r="I75" s="4">
        <f t="shared" si="85"/>
        <v>9.1666666666666661</v>
      </c>
      <c r="J75" s="4">
        <f t="shared" si="85"/>
        <v>21.666666666666664</v>
      </c>
      <c r="K75" s="4">
        <f t="shared" si="85"/>
        <v>1.2121212121212119</v>
      </c>
      <c r="L75" s="4">
        <f t="shared" si="85"/>
        <v>0.7407407407407407</v>
      </c>
      <c r="M75" s="4">
        <f t="shared" si="85"/>
        <v>3.0555555555555558</v>
      </c>
      <c r="N75" s="4">
        <f t="shared" si="85"/>
        <v>35</v>
      </c>
      <c r="O75" s="4"/>
    </row>
    <row r="76" spans="5:45" x14ac:dyDescent="0.25">
      <c r="F76" t="s">
        <v>96</v>
      </c>
      <c r="G76">
        <f>G69/30</f>
        <v>0.33333333333333331</v>
      </c>
      <c r="H76">
        <f t="shared" ref="H76:N76" si="86">H69/30</f>
        <v>0.23333333333333334</v>
      </c>
      <c r="I76">
        <f t="shared" si="86"/>
        <v>0.13333333333333333</v>
      </c>
      <c r="J76">
        <f t="shared" si="86"/>
        <v>6.6666666666666666E-2</v>
      </c>
      <c r="K76">
        <f t="shared" si="86"/>
        <v>0.36666666666666664</v>
      </c>
      <c r="L76">
        <f t="shared" si="86"/>
        <v>0.3</v>
      </c>
      <c r="M76">
        <f t="shared" si="86"/>
        <v>0.13333333333333333</v>
      </c>
      <c r="N76">
        <f t="shared" si="86"/>
        <v>3.3333333333333333E-2</v>
      </c>
    </row>
    <row r="77" spans="5:45" x14ac:dyDescent="0.25">
      <c r="F77" t="s">
        <v>97</v>
      </c>
      <c r="G77">
        <f>G75*G76</f>
        <v>0.20833333333333331</v>
      </c>
      <c r="H77">
        <f t="shared" ref="H77:N77" si="87">H75*H76</f>
        <v>0.29629629629629628</v>
      </c>
      <c r="I77">
        <f t="shared" si="87"/>
        <v>1.2222222222222221</v>
      </c>
      <c r="J77">
        <f t="shared" si="87"/>
        <v>1.4444444444444442</v>
      </c>
      <c r="K77">
        <f t="shared" si="87"/>
        <v>0.44444444444444436</v>
      </c>
      <c r="L77">
        <f t="shared" si="87"/>
        <v>0.22222222222222221</v>
      </c>
      <c r="M77">
        <f t="shared" si="87"/>
        <v>0.40740740740740744</v>
      </c>
      <c r="N77">
        <f t="shared" si="87"/>
        <v>1.1666666666666667</v>
      </c>
    </row>
    <row r="80" spans="5:45" x14ac:dyDescent="0.25">
      <c r="F80" t="s">
        <v>109</v>
      </c>
      <c r="G80">
        <f>G64/60</f>
        <v>0.21666666666666667</v>
      </c>
      <c r="H80">
        <f t="shared" ref="H80:N80" si="88">H64/60</f>
        <v>0.28333333333333333</v>
      </c>
      <c r="I80">
        <f t="shared" si="88"/>
        <v>0.23333333333333334</v>
      </c>
      <c r="J80">
        <f t="shared" si="88"/>
        <v>0.26666666666666666</v>
      </c>
      <c r="K80">
        <f t="shared" si="88"/>
        <v>0.11666666666666667</v>
      </c>
      <c r="L80">
        <f t="shared" si="88"/>
        <v>0.25</v>
      </c>
      <c r="M80">
        <f t="shared" si="88"/>
        <v>0.33333333333333331</v>
      </c>
      <c r="N80">
        <f t="shared" si="88"/>
        <v>0.3</v>
      </c>
    </row>
    <row r="81" spans="6:14" x14ac:dyDescent="0.25">
      <c r="F81" t="s">
        <v>108</v>
      </c>
      <c r="G81">
        <f>G80*G68</f>
        <v>5.7777777777777782E-2</v>
      </c>
      <c r="H81">
        <f t="shared" ref="H81:N81" si="89">H80*H68</f>
        <v>8.4999999999999992E-2</v>
      </c>
      <c r="I81">
        <f t="shared" si="89"/>
        <v>2.3333333333333334E-2</v>
      </c>
      <c r="J81">
        <f t="shared" si="89"/>
        <v>2.6666666666666668E-2</v>
      </c>
      <c r="K81">
        <f t="shared" si="89"/>
        <v>1.1666666666666667E-2</v>
      </c>
      <c r="L81">
        <f t="shared" si="89"/>
        <v>7.4999999999999997E-2</v>
      </c>
      <c r="M81">
        <f t="shared" si="89"/>
        <v>9.9999999999999992E-2</v>
      </c>
      <c r="N81">
        <f t="shared" si="89"/>
        <v>0.04</v>
      </c>
    </row>
    <row r="82" spans="6:14" x14ac:dyDescent="0.25">
      <c r="F82" t="s">
        <v>110</v>
      </c>
      <c r="G82">
        <f>G80^0.5/G66^0.5</f>
        <v>1.61245154965971</v>
      </c>
      <c r="H82">
        <f t="shared" ref="H82:N82" si="90">H80^0.5/H66^0.5</f>
        <v>1.4577379737113252</v>
      </c>
      <c r="I82">
        <f t="shared" si="90"/>
        <v>1.1281521496355325</v>
      </c>
      <c r="J82">
        <f t="shared" si="90"/>
        <v>1.1094003924504581</v>
      </c>
      <c r="K82">
        <f t="shared" si="90"/>
        <v>1.3228756555322954</v>
      </c>
      <c r="L82">
        <f t="shared" si="90"/>
        <v>1.5811388300841895</v>
      </c>
      <c r="M82">
        <f t="shared" si="90"/>
        <v>1.3483997249264843</v>
      </c>
      <c r="N82">
        <f t="shared" si="90"/>
        <v>1.1338934190276817</v>
      </c>
    </row>
    <row r="85" spans="6:14" x14ac:dyDescent="0.25">
      <c r="F85" t="s">
        <v>114</v>
      </c>
      <c r="G85">
        <f>1-(G64/60)</f>
        <v>0.78333333333333333</v>
      </c>
      <c r="H85">
        <f t="shared" ref="H85:N85" si="91">1-(H64/60)</f>
        <v>0.71666666666666667</v>
      </c>
      <c r="I85">
        <f t="shared" si="91"/>
        <v>0.76666666666666661</v>
      </c>
      <c r="J85">
        <f t="shared" si="91"/>
        <v>0.73333333333333339</v>
      </c>
      <c r="K85">
        <f t="shared" si="91"/>
        <v>0.8833333333333333</v>
      </c>
      <c r="L85">
        <f t="shared" si="91"/>
        <v>0.75</v>
      </c>
      <c r="M85">
        <f t="shared" si="91"/>
        <v>0.66666666666666674</v>
      </c>
      <c r="N85">
        <f t="shared" si="91"/>
        <v>0.7</v>
      </c>
    </row>
    <row r="86" spans="6:14" x14ac:dyDescent="0.25">
      <c r="F86" t="s">
        <v>115</v>
      </c>
      <c r="G86" s="5">
        <f>1-G66</f>
        <v>0.91666666666666663</v>
      </c>
      <c r="H86" s="5">
        <f t="shared" ref="H86:N86" si="92">1-H66</f>
        <v>0.8666666666666667</v>
      </c>
      <c r="I86" s="5">
        <f t="shared" si="92"/>
        <v>0.81666666666666665</v>
      </c>
      <c r="J86" s="5">
        <f t="shared" si="92"/>
        <v>0.78333333333333333</v>
      </c>
      <c r="K86" s="5">
        <f t="shared" si="92"/>
        <v>0.93333333333333335</v>
      </c>
      <c r="L86" s="5">
        <f t="shared" si="92"/>
        <v>0.9</v>
      </c>
      <c r="M86" s="5">
        <f t="shared" si="92"/>
        <v>0.81666666666666665</v>
      </c>
      <c r="N86" s="5">
        <f t="shared" si="92"/>
        <v>0.76666666666666661</v>
      </c>
    </row>
  </sheetData>
  <sortState xmlns:xlrd2="http://schemas.microsoft.com/office/spreadsheetml/2017/richdata2" ref="AW3:AX62">
    <sortCondition ref="AW3:AW62"/>
    <sortCondition ref="AX3:AX62"/>
  </sortState>
  <conditionalFormatting sqref="C3:C62">
    <cfRule type="expression" dxfId="31" priority="28">
      <formula>IF(B3=C3,0,1)</formula>
    </cfRule>
  </conditionalFormatting>
  <conditionalFormatting sqref="D3:D62">
    <cfRule type="expression" dxfId="30" priority="31">
      <formula>IF(E3=F3,0,1)</formula>
    </cfRule>
  </conditionalFormatting>
  <conditionalFormatting sqref="E3:E62">
    <cfRule type="expression" dxfId="29" priority="37">
      <formula>AND(IF(D3="multi_nb",TRUE,FALSE),(E3=B3))</formula>
    </cfRule>
  </conditionalFormatting>
  <conditionalFormatting sqref="F3:F62 F64:F67 F69 F71:F73 F75:F77 F80">
    <cfRule type="expression" dxfId="28" priority="64">
      <formula>AND(F3=B3,NOT(B3=E3))</formula>
    </cfRule>
  </conditionalFormatting>
  <conditionalFormatting sqref="F63">
    <cfRule type="expression" dxfId="27" priority="70">
      <formula>AND(F63=B64,NOT(B64=E64))</formula>
    </cfRule>
  </conditionalFormatting>
  <conditionalFormatting sqref="F68">
    <cfRule type="expression" dxfId="26" priority="71">
      <formula>AND(F68=B67,NOT(B67=E67))</formula>
    </cfRule>
  </conditionalFormatting>
  <conditionalFormatting sqref="O64 G3:O62">
    <cfRule type="expression" dxfId="25" priority="39">
      <formula>G3=MAX($G3:$N3)</formula>
    </cfRule>
  </conditionalFormatting>
  <conditionalFormatting sqref="P3:R102">
    <cfRule type="expression" dxfId="24" priority="16">
      <formula>P3=B3</formula>
    </cfRule>
  </conditionalFormatting>
  <conditionalFormatting sqref="S3:AA62">
    <cfRule type="expression" dxfId="23" priority="35">
      <formula>S3=MAX($S3:$V3)</formula>
    </cfRule>
  </conditionalFormatting>
  <conditionalFormatting sqref="S3:AB62 AK3:AO62 AQ3:AU62 AW3:AX62">
    <cfRule type="expression" dxfId="22" priority="1">
      <formula>S3=MAX($S3:$AA3)</formula>
    </cfRule>
  </conditionalFormatting>
  <conditionalFormatting sqref="AC3:AC63">
    <cfRule type="expression" dxfId="21" priority="17">
      <formula>AC3=M3</formula>
    </cfRule>
  </conditionalFormatting>
  <conditionalFormatting sqref="AD3:AG100">
    <cfRule type="expression" dxfId="20" priority="11">
      <formula>AD3=MAX($AD3:$AG3)</formula>
    </cfRule>
  </conditionalFormatting>
  <conditionalFormatting sqref="AI3:AI62">
    <cfRule type="expression" dxfId="19" priority="4">
      <formula>AI3=MAX($S3:$AA3)</formula>
    </cfRule>
    <cfRule type="expression" dxfId="18" priority="5">
      <formula>AI3=MAX($X3:$AA3)</formula>
    </cfRule>
  </conditionalFormatting>
  <conditionalFormatting sqref="AJ3:AJ63">
    <cfRule type="expression" dxfId="17" priority="6">
      <formula>AJ3=T3</formula>
    </cfRule>
  </conditionalFormatting>
  <conditionalFormatting sqref="AO3:AO62">
    <cfRule type="expression" dxfId="16" priority="2">
      <formula>AO3=MAX($X3:$AA3)</formula>
    </cfRule>
  </conditionalFormatting>
  <conditionalFormatting sqref="AP3:AP63">
    <cfRule type="expression" dxfId="15" priority="3">
      <formula>AP3=Z3</formula>
    </cfRule>
  </conditionalFormatting>
  <conditionalFormatting sqref="AW3:AX62">
    <cfRule type="expression" dxfId="14" priority="7">
      <formula>AW3=MAX($X3:$AA3)</formula>
    </cfRule>
  </conditionalFormatting>
  <conditionalFormatting sqref="AY3:AY63">
    <cfRule type="expression" dxfId="13" priority="8">
      <formula>AY3=AB3</formula>
    </cfRule>
  </conditionalFormatting>
  <conditionalFormatting sqref="AZ3:BD62 AK3:AN62 AQ3:AU62 AW3:AX62">
    <cfRule type="expression" dxfId="12" priority="32">
      <formula>AK3=MAX($AK3:$AT3)</formula>
    </cfRule>
    <cfRule type="expression" dxfId="11" priority="33">
      <formula>AK3=MAX($AD3:$AG3)</formula>
    </cfRule>
  </conditionalFormatting>
  <conditionalFormatting sqref="AZ3:BD62">
    <cfRule type="expression" dxfId="10" priority="26">
      <formula>AZ3=MAX($S3:$AA3)</formula>
    </cfRule>
  </conditionalFormatting>
  <conditionalFormatting sqref="AZ3:BD100">
    <cfRule type="expression" dxfId="9" priority="9">
      <formula>AZ3=MAX($AZ3:$BC3)</formula>
    </cfRule>
  </conditionalFormatting>
  <conditionalFormatting sqref="BE3">
    <cfRule type="expression" dxfId="8" priority="14">
      <formula>BE3=AB3</formula>
    </cfRule>
  </conditionalFormatting>
  <conditionalFormatting sqref="BF3:BI62">
    <cfRule type="expression" dxfId="7" priority="25">
      <formula>BF3=MAX($BF3:$BI3)</formula>
    </cfRule>
  </conditionalFormatting>
  <conditionalFormatting sqref="BK3:BK62">
    <cfRule type="expression" dxfId="6" priority="19">
      <formula>BK3=MAX($G3:$N3)</formula>
    </cfRule>
  </conditionalFormatting>
  <conditionalFormatting sqref="BL3:BN63">
    <cfRule type="expression" dxfId="5" priority="18">
      <formula>BL3=AL3</formula>
    </cfRule>
  </conditionalFormatting>
  <conditionalFormatting sqref="BO3:BR62">
    <cfRule type="expression" dxfId="4" priority="23">
      <formula>BO3=MAX($S3:$V3)</formula>
    </cfRule>
  </conditionalFormatting>
  <conditionalFormatting sqref="BO3:BV62 BX3:CA62">
    <cfRule type="expression" dxfId="3" priority="20">
      <formula>BO3=MAX($BO3:$BV3)</formula>
    </cfRule>
  </conditionalFormatting>
  <conditionalFormatting sqref="BS3:BV62">
    <cfRule type="expression" dxfId="2" priority="21">
      <formula>BS3=MAX($X3:$AA3)</formula>
    </cfRule>
  </conditionalFormatting>
  <conditionalFormatting sqref="BW3:BW62">
    <cfRule type="expression" dxfId="1" priority="13">
      <formula>BW3=BI3</formula>
    </cfRule>
  </conditionalFormatting>
  <conditionalFormatting sqref="BX3:CA62 S3:AB62">
    <cfRule type="expression" dxfId="0" priority="27">
      <formula>S3=MAX($X3:$AA3)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BDCB-3CA5-4D14-B978-3270F76D2555}">
  <dimension ref="A1:AJ63"/>
  <sheetViews>
    <sheetView workbookViewId="0">
      <selection activeCell="AK15" sqref="AK15"/>
    </sheetView>
  </sheetViews>
  <sheetFormatPr defaultRowHeight="15" x14ac:dyDescent="0.25"/>
  <sheetData>
    <row r="1" spans="1:36" x14ac:dyDescent="0.25">
      <c r="A1" t="s">
        <v>99</v>
      </c>
      <c r="B1" t="s">
        <v>100</v>
      </c>
      <c r="G1" t="s">
        <v>101</v>
      </c>
      <c r="K1" t="s">
        <v>102</v>
      </c>
      <c r="Q1" t="s">
        <v>103</v>
      </c>
      <c r="R1" t="s">
        <v>100</v>
      </c>
      <c r="W1" t="s">
        <v>101</v>
      </c>
      <c r="AA1" t="s">
        <v>102</v>
      </c>
    </row>
    <row r="2" spans="1:36" x14ac:dyDescent="0.25">
      <c r="A2" t="s">
        <v>3</v>
      </c>
      <c r="B2" t="s">
        <v>24</v>
      </c>
      <c r="C2" t="s">
        <v>17</v>
      </c>
      <c r="D2" t="s">
        <v>22</v>
      </c>
      <c r="F2" t="s">
        <v>3</v>
      </c>
      <c r="G2" t="s">
        <v>24</v>
      </c>
      <c r="H2" t="s">
        <v>17</v>
      </c>
      <c r="I2" t="s">
        <v>22</v>
      </c>
      <c r="K2" t="s">
        <v>3</v>
      </c>
      <c r="L2" t="s">
        <v>24</v>
      </c>
      <c r="M2" t="s">
        <v>17</v>
      </c>
      <c r="N2" t="s">
        <v>22</v>
      </c>
      <c r="Q2" t="s">
        <v>3</v>
      </c>
      <c r="R2" t="s">
        <v>24</v>
      </c>
      <c r="S2" t="s">
        <v>17</v>
      </c>
      <c r="T2" t="s">
        <v>22</v>
      </c>
      <c r="V2" t="s">
        <v>3</v>
      </c>
      <c r="W2" t="s">
        <v>24</v>
      </c>
      <c r="X2" t="s">
        <v>17</v>
      </c>
      <c r="Y2" t="s">
        <v>22</v>
      </c>
      <c r="AA2" t="s">
        <v>3</v>
      </c>
      <c r="AB2" t="s">
        <v>24</v>
      </c>
      <c r="AC2" t="s">
        <v>17</v>
      </c>
      <c r="AD2" t="s">
        <v>22</v>
      </c>
    </row>
    <row r="3" spans="1:36" x14ac:dyDescent="0.25">
      <c r="A3" t="b">
        <f>AND(IF(predictwithfallbackConfidences!$E3=predictwithfallbackConfidences!$B3,1,0),IF(predictwithfallbackConfidences!$E3=Sheet1!A$2,1,0))</f>
        <v>1</v>
      </c>
      <c r="B3" t="b">
        <f>AND(IF(predictwithfallbackConfidences!$E3=predictwithfallbackConfidences!$B3,1,0),IF(predictwithfallbackConfidences!$E3=Sheet1!B$2,1,0))</f>
        <v>0</v>
      </c>
      <c r="C3" t="b">
        <f>AND(IF(predictwithfallbackConfidences!$E3=predictwithfallbackConfidences!$B3,1,0),IF(predictwithfallbackConfidences!$E3=Sheet1!C$2,1,0))</f>
        <v>0</v>
      </c>
      <c r="D3" t="b">
        <f>AND(IF(predictwithfallbackConfidences!$E3=predictwithfallbackConfidences!$B3,1,0),IF(predictwithfallbackConfidences!$E3=Sheet1!D$2,1,0))</f>
        <v>0</v>
      </c>
      <c r="F3" t="b">
        <f>AND(IF(predictwithfallbackConfidences!$E3=predictwithfallbackConfidences!$B3,0,1),IF(predictwithfallbackConfidences!$E3=Sheet1!A$2,1,0))</f>
        <v>0</v>
      </c>
      <c r="G3" t="b">
        <f>AND(IF(predictwithfallbackConfidences!$E3=predictwithfallbackConfidences!$B3,0,1),IF(predictwithfallbackConfidences!$E3=Sheet1!B$2,1,0))</f>
        <v>0</v>
      </c>
      <c r="H3" t="b">
        <f>AND(IF(predictwithfallbackConfidences!$E3=predictwithfallbackConfidences!$B3,0,1),IF(predictwithfallbackConfidences!$E3=Sheet1!C$2,1,0))</f>
        <v>0</v>
      </c>
      <c r="I3" t="b">
        <f>AND(IF(predictwithfallbackConfidences!$E3=predictwithfallbackConfidences!$B3,0,1),IF(predictwithfallbackConfidences!$E3=Sheet1!D$2,1,0))</f>
        <v>0</v>
      </c>
      <c r="K3" t="b">
        <f>AND(IF(predictwithfallbackConfidences!$E3=predictwithfallbackConfidences!$B3,0,1),IF(predictwithfallbackConfidences!$B3=Sheet1!A$2,1,0))</f>
        <v>0</v>
      </c>
      <c r="L3" t="b">
        <f>AND(IF(predictwithfallbackConfidences!$E3=predictwithfallbackConfidences!$B3,0,1),IF(predictwithfallbackConfidences!$B3=Sheet1!B$2,1,0))</f>
        <v>0</v>
      </c>
      <c r="M3" t="b">
        <f>AND(IF(predictwithfallbackConfidences!$E3=predictwithfallbackConfidences!$B3,0,1),IF(predictwithfallbackConfidences!$B3=Sheet1!C$2,1,0))</f>
        <v>0</v>
      </c>
      <c r="N3" t="b">
        <f>AND(IF(predictwithfallbackConfidences!$E3=predictwithfallbackConfidences!$B3,0,1),IF(predictwithfallbackConfidences!$B3=Sheet1!D$2,1,0))</f>
        <v>0</v>
      </c>
      <c r="Q3" t="b">
        <f>AND(IF(predictwithfallbackConfidences!$F3=predictwithfallbackConfidences!$B3,1,0),IF(predictwithfallbackConfidences!$F3=Sheet1!A$2,1,0))</f>
        <v>0</v>
      </c>
      <c r="R3" t="b">
        <f>AND(IF(predictwithfallbackConfidences!$F3=predictwithfallbackConfidences!$B3,1,0),IF(predictwithfallbackConfidences!$F3=Sheet1!B$2,1,0))</f>
        <v>0</v>
      </c>
      <c r="S3" t="b">
        <f>AND(IF(predictwithfallbackConfidences!$F3=predictwithfallbackConfidences!$B3,1,0),IF(predictwithfallbackConfidences!$F3=Sheet1!C$2,1,0))</f>
        <v>0</v>
      </c>
      <c r="T3" t="b">
        <f>AND(IF(predictwithfallbackConfidences!$F3=predictwithfallbackConfidences!$B3,1,0),IF(predictwithfallbackConfidences!$F3=Sheet1!D$2,1,0))</f>
        <v>0</v>
      </c>
      <c r="V3" t="b">
        <f>AND(IF(predictwithfallbackConfidences!$F3=predictwithfallbackConfidences!$B3,0,1),IF(predictwithfallbackConfidences!$F3=Sheet1!A$2,1,0))</f>
        <v>0</v>
      </c>
      <c r="W3" t="b">
        <f>AND(IF(predictwithfallbackConfidences!$F3=predictwithfallbackConfidences!$B3,0,1),IF(predictwithfallbackConfidences!$F3=Sheet1!B$2,1,0))</f>
        <v>1</v>
      </c>
      <c r="X3" t="b">
        <f>AND(IF(predictwithfallbackConfidences!$F3=predictwithfallbackConfidences!$B3,0,1),IF(predictwithfallbackConfidences!$F3=Sheet1!C$2,1,0))</f>
        <v>0</v>
      </c>
      <c r="Y3" t="b">
        <f>AND(IF(predictwithfallbackConfidences!$F3=predictwithfallbackConfidences!$B3,0,1),IF(predictwithfallbackConfidences!$F3=Sheet1!D$2,1,0))</f>
        <v>0</v>
      </c>
      <c r="AA3" t="b">
        <f>AND(IF(predictwithfallbackConfidences!$F3=predictwithfallbackConfidences!$B3,0,1),IF(predictwithfallbackConfidences!$B3=Sheet1!A$2,1,0))</f>
        <v>1</v>
      </c>
      <c r="AB3" t="b">
        <f>AND(IF(predictwithfallbackConfidences!$F3=predictwithfallbackConfidences!$B3,0,1),IF(predictwithfallbackConfidences!$B3=Sheet1!B$2,1,0))</f>
        <v>0</v>
      </c>
      <c r="AC3" t="b">
        <f>AND(IF(predictwithfallbackConfidences!$F3=predictwithfallbackConfidences!$B3,0,1),IF(predictwithfallbackConfidences!$B3=Sheet1!C$2,1,0))</f>
        <v>0</v>
      </c>
      <c r="AD3" t="b">
        <f>AND(IF(predictwithfallbackConfidences!$F3=predictwithfallbackConfidences!$B3,0,1),IF(predictwithfallbackConfidences!$B3=Sheet1!D$2,1,0))</f>
        <v>0</v>
      </c>
    </row>
    <row r="4" spans="1:36" x14ac:dyDescent="0.25">
      <c r="A4" t="b">
        <f>AND(IF(predictwithfallbackConfidences!$E4=predictwithfallbackConfidences!$B4,1,0),IF(predictwithfallbackConfidences!$E4=Sheet1!A$2,1,0))</f>
        <v>0</v>
      </c>
      <c r="B4" t="b">
        <f>AND(IF(predictwithfallbackConfidences!$E4=predictwithfallbackConfidences!$B4,1,0),IF(predictwithfallbackConfidences!$E4=Sheet1!B$2,1,0))</f>
        <v>0</v>
      </c>
      <c r="C4" t="b">
        <f>AND(IF(predictwithfallbackConfidences!$E4=predictwithfallbackConfidences!$B4,1,0),IF(predictwithfallbackConfidences!$E4=Sheet1!C$2,1,0))</f>
        <v>0</v>
      </c>
      <c r="D4" t="b">
        <f>AND(IF(predictwithfallbackConfidences!$E4=predictwithfallbackConfidences!$B4,1,0),IF(predictwithfallbackConfidences!$E4=Sheet1!D$2,1,0))</f>
        <v>0</v>
      </c>
      <c r="F4" t="b">
        <f>AND(IF(predictwithfallbackConfidences!$E4=predictwithfallbackConfidences!$B4,0,1),IF(predictwithfallbackConfidences!$E4=Sheet1!A$2,1,0))</f>
        <v>0</v>
      </c>
      <c r="G4" t="b">
        <f>AND(IF(predictwithfallbackConfidences!$E4=predictwithfallbackConfidences!$B4,0,1),IF(predictwithfallbackConfidences!$E4=Sheet1!B$2,1,0))</f>
        <v>1</v>
      </c>
      <c r="H4" t="b">
        <f>AND(IF(predictwithfallbackConfidences!$E4=predictwithfallbackConfidences!$B4,0,1),IF(predictwithfallbackConfidences!$E4=Sheet1!C$2,1,0))</f>
        <v>0</v>
      </c>
      <c r="I4" t="b">
        <f>AND(IF(predictwithfallbackConfidences!$E4=predictwithfallbackConfidences!$B4,0,1),IF(predictwithfallbackConfidences!$E4=Sheet1!D$2,1,0))</f>
        <v>0</v>
      </c>
      <c r="K4" t="b">
        <f>AND(IF(predictwithfallbackConfidences!$E4=predictwithfallbackConfidences!$B4,0,1),IF(predictwithfallbackConfidences!$B4=Sheet1!A$2,1,0))</f>
        <v>1</v>
      </c>
      <c r="L4" t="b">
        <f>AND(IF(predictwithfallbackConfidences!$E4=predictwithfallbackConfidences!$B4,0,1),IF(predictwithfallbackConfidences!$B4=Sheet1!B$2,1,0))</f>
        <v>0</v>
      </c>
      <c r="M4" t="b">
        <f>AND(IF(predictwithfallbackConfidences!$E4=predictwithfallbackConfidences!$B4,0,1),IF(predictwithfallbackConfidences!$B4=Sheet1!C$2,1,0))</f>
        <v>0</v>
      </c>
      <c r="N4" t="b">
        <f>AND(IF(predictwithfallbackConfidences!$E4=predictwithfallbackConfidences!$B4,0,1),IF(predictwithfallbackConfidences!$B4=Sheet1!D$2,1,0))</f>
        <v>0</v>
      </c>
      <c r="Q4" t="b">
        <f>AND(IF(predictwithfallbackConfidences!$F4=predictwithfallbackConfidences!$B4,1,0),IF(predictwithfallbackConfidences!$F4=Sheet1!A$2,1,0))</f>
        <v>0</v>
      </c>
      <c r="R4" t="b">
        <f>AND(IF(predictwithfallbackConfidences!$F4=predictwithfallbackConfidences!$B4,1,0),IF(predictwithfallbackConfidences!$F4=Sheet1!B$2,1,0))</f>
        <v>0</v>
      </c>
      <c r="S4" t="b">
        <f>AND(IF(predictwithfallbackConfidences!$F4=predictwithfallbackConfidences!$B4,1,0),IF(predictwithfallbackConfidences!$F4=Sheet1!C$2,1,0))</f>
        <v>0</v>
      </c>
      <c r="T4" t="b">
        <f>AND(IF(predictwithfallbackConfidences!$F4=predictwithfallbackConfidences!$B4,1,0),IF(predictwithfallbackConfidences!$F4=Sheet1!D$2,1,0))</f>
        <v>0</v>
      </c>
      <c r="V4" t="b">
        <f>AND(IF(predictwithfallbackConfidences!$F4=predictwithfallbackConfidences!$B4,0,1),IF(predictwithfallbackConfidences!$F4=Sheet1!A$2,1,0))</f>
        <v>0</v>
      </c>
      <c r="W4" t="b">
        <f>AND(IF(predictwithfallbackConfidences!$F4=predictwithfallbackConfidences!$B4,0,1),IF(predictwithfallbackConfidences!$F4=Sheet1!B$2,1,0))</f>
        <v>0</v>
      </c>
      <c r="X4" t="b">
        <f>AND(IF(predictwithfallbackConfidences!$F4=predictwithfallbackConfidences!$B4,0,1),IF(predictwithfallbackConfidences!$F4=Sheet1!C$2,1,0))</f>
        <v>1</v>
      </c>
      <c r="Y4" t="b">
        <f>AND(IF(predictwithfallbackConfidences!$F4=predictwithfallbackConfidences!$B4,0,1),IF(predictwithfallbackConfidences!$F4=Sheet1!D$2,1,0))</f>
        <v>0</v>
      </c>
      <c r="AA4" t="b">
        <f>AND(IF(predictwithfallbackConfidences!$F4=predictwithfallbackConfidences!$B4,0,1),IF(predictwithfallbackConfidences!$B4=Sheet1!A$2,1,0))</f>
        <v>1</v>
      </c>
      <c r="AB4" t="b">
        <f>AND(IF(predictwithfallbackConfidences!$F4=predictwithfallbackConfidences!$B4,0,1),IF(predictwithfallbackConfidences!$B4=Sheet1!B$2,1,0))</f>
        <v>0</v>
      </c>
      <c r="AC4" t="b">
        <f>AND(IF(predictwithfallbackConfidences!$F4=predictwithfallbackConfidences!$B4,0,1),IF(predictwithfallbackConfidences!$B4=Sheet1!C$2,1,0))</f>
        <v>0</v>
      </c>
      <c r="AD4" t="b">
        <f>AND(IF(predictwithfallbackConfidences!$F4=predictwithfallbackConfidences!$B4,0,1),IF(predictwithfallbackConfidences!$B4=Sheet1!D$2,1,0))</f>
        <v>0</v>
      </c>
      <c r="AG4" t="s">
        <v>104</v>
      </c>
    </row>
    <row r="5" spans="1:36" x14ac:dyDescent="0.25">
      <c r="A5" t="b">
        <f>AND(IF(predictwithfallbackConfidences!$E5=predictwithfallbackConfidences!$B5,1,0),IF(predictwithfallbackConfidences!$E5=Sheet1!A$2,1,0))</f>
        <v>1</v>
      </c>
      <c r="B5" t="b">
        <f>AND(IF(predictwithfallbackConfidences!$E5=predictwithfallbackConfidences!$B5,1,0),IF(predictwithfallbackConfidences!$E5=Sheet1!B$2,1,0))</f>
        <v>0</v>
      </c>
      <c r="C5" t="b">
        <f>AND(IF(predictwithfallbackConfidences!$E5=predictwithfallbackConfidences!$B5,1,0),IF(predictwithfallbackConfidences!$E5=Sheet1!C$2,1,0))</f>
        <v>0</v>
      </c>
      <c r="D5" t="b">
        <f>AND(IF(predictwithfallbackConfidences!$E5=predictwithfallbackConfidences!$B5,1,0),IF(predictwithfallbackConfidences!$E5=Sheet1!D$2,1,0))</f>
        <v>0</v>
      </c>
      <c r="F5" t="b">
        <f>AND(IF(predictwithfallbackConfidences!$E5=predictwithfallbackConfidences!$B5,0,1),IF(predictwithfallbackConfidences!$E5=Sheet1!A$2,1,0))</f>
        <v>0</v>
      </c>
      <c r="G5" t="b">
        <f>AND(IF(predictwithfallbackConfidences!$E5=predictwithfallbackConfidences!$B5,0,1),IF(predictwithfallbackConfidences!$E5=Sheet1!B$2,1,0))</f>
        <v>0</v>
      </c>
      <c r="H5" t="b">
        <f>AND(IF(predictwithfallbackConfidences!$E5=predictwithfallbackConfidences!$B5,0,1),IF(predictwithfallbackConfidences!$E5=Sheet1!C$2,1,0))</f>
        <v>0</v>
      </c>
      <c r="I5" t="b">
        <f>AND(IF(predictwithfallbackConfidences!$E5=predictwithfallbackConfidences!$B5,0,1),IF(predictwithfallbackConfidences!$E5=Sheet1!D$2,1,0))</f>
        <v>0</v>
      </c>
      <c r="K5" t="b">
        <f>AND(IF(predictwithfallbackConfidences!$E5=predictwithfallbackConfidences!$B5,0,1),IF(predictwithfallbackConfidences!$B5=Sheet1!A$2,1,0))</f>
        <v>0</v>
      </c>
      <c r="L5" t="b">
        <f>AND(IF(predictwithfallbackConfidences!$E5=predictwithfallbackConfidences!$B5,0,1),IF(predictwithfallbackConfidences!$B5=Sheet1!B$2,1,0))</f>
        <v>0</v>
      </c>
      <c r="M5" t="b">
        <f>AND(IF(predictwithfallbackConfidences!$E5=predictwithfallbackConfidences!$B5,0,1),IF(predictwithfallbackConfidences!$B5=Sheet1!C$2,1,0))</f>
        <v>0</v>
      </c>
      <c r="N5" t="b">
        <f>AND(IF(predictwithfallbackConfidences!$E5=predictwithfallbackConfidences!$B5,0,1),IF(predictwithfallbackConfidences!$B5=Sheet1!D$2,1,0))</f>
        <v>0</v>
      </c>
      <c r="Q5" t="b">
        <f>AND(IF(predictwithfallbackConfidences!$F5=predictwithfallbackConfidences!$B5,1,0),IF(predictwithfallbackConfidences!$F5=Sheet1!A$2,1,0))</f>
        <v>1</v>
      </c>
      <c r="R5" t="b">
        <f>AND(IF(predictwithfallbackConfidences!$F5=predictwithfallbackConfidences!$B5,1,0),IF(predictwithfallbackConfidences!$F5=Sheet1!B$2,1,0))</f>
        <v>0</v>
      </c>
      <c r="S5" t="b">
        <f>AND(IF(predictwithfallbackConfidences!$F5=predictwithfallbackConfidences!$B5,1,0),IF(predictwithfallbackConfidences!$F5=Sheet1!C$2,1,0))</f>
        <v>0</v>
      </c>
      <c r="T5" t="b">
        <f>AND(IF(predictwithfallbackConfidences!$F5=predictwithfallbackConfidences!$B5,1,0),IF(predictwithfallbackConfidences!$F5=Sheet1!D$2,1,0))</f>
        <v>0</v>
      </c>
      <c r="V5" t="b">
        <f>AND(IF(predictwithfallbackConfidences!$F5=predictwithfallbackConfidences!$B5,0,1),IF(predictwithfallbackConfidences!$F5=Sheet1!A$2,1,0))</f>
        <v>0</v>
      </c>
      <c r="W5" t="b">
        <f>AND(IF(predictwithfallbackConfidences!$F5=predictwithfallbackConfidences!$B5,0,1),IF(predictwithfallbackConfidences!$F5=Sheet1!B$2,1,0))</f>
        <v>0</v>
      </c>
      <c r="X5" t="b">
        <f>AND(IF(predictwithfallbackConfidences!$F5=predictwithfallbackConfidences!$B5,0,1),IF(predictwithfallbackConfidences!$F5=Sheet1!C$2,1,0))</f>
        <v>0</v>
      </c>
      <c r="Y5" t="b">
        <f>AND(IF(predictwithfallbackConfidences!$F5=predictwithfallbackConfidences!$B5,0,1),IF(predictwithfallbackConfidences!$F5=Sheet1!D$2,1,0))</f>
        <v>0</v>
      </c>
      <c r="AA5" t="b">
        <f>AND(IF(predictwithfallbackConfidences!$F5=predictwithfallbackConfidences!$B5,0,1),IF(predictwithfallbackConfidences!$B5=Sheet1!A$2,1,0))</f>
        <v>0</v>
      </c>
      <c r="AB5" t="b">
        <f>AND(IF(predictwithfallbackConfidences!$F5=predictwithfallbackConfidences!$B5,0,1),IF(predictwithfallbackConfidences!$B5=Sheet1!B$2,1,0))</f>
        <v>0</v>
      </c>
      <c r="AC5" t="b">
        <f>AND(IF(predictwithfallbackConfidences!$F5=predictwithfallbackConfidences!$B5,0,1),IF(predictwithfallbackConfidences!$B5=Sheet1!C$2,1,0))</f>
        <v>0</v>
      </c>
      <c r="AD5" t="b">
        <f>AND(IF(predictwithfallbackConfidences!$F5=predictwithfallbackConfidences!$B5,0,1),IF(predictwithfallbackConfidences!$B5=Sheet1!D$2,1,0))</f>
        <v>0</v>
      </c>
      <c r="AG5" t="s">
        <v>3</v>
      </c>
      <c r="AH5" t="s">
        <v>24</v>
      </c>
      <c r="AI5" t="s">
        <v>17</v>
      </c>
      <c r="AJ5" t="s">
        <v>22</v>
      </c>
    </row>
    <row r="6" spans="1:36" x14ac:dyDescent="0.25">
      <c r="A6" t="b">
        <f>AND(IF(predictwithfallbackConfidences!$E6=predictwithfallbackConfidences!$B6,1,0),IF(predictwithfallbackConfidences!$E6=Sheet1!A$2,1,0))</f>
        <v>1</v>
      </c>
      <c r="B6" t="b">
        <f>AND(IF(predictwithfallbackConfidences!$E6=predictwithfallbackConfidences!$B6,1,0),IF(predictwithfallbackConfidences!$E6=Sheet1!B$2,1,0))</f>
        <v>0</v>
      </c>
      <c r="C6" t="b">
        <f>AND(IF(predictwithfallbackConfidences!$E6=predictwithfallbackConfidences!$B6,1,0),IF(predictwithfallbackConfidences!$E6=Sheet1!C$2,1,0))</f>
        <v>0</v>
      </c>
      <c r="D6" t="b">
        <f>AND(IF(predictwithfallbackConfidences!$E6=predictwithfallbackConfidences!$B6,1,0),IF(predictwithfallbackConfidences!$E6=Sheet1!D$2,1,0))</f>
        <v>0</v>
      </c>
      <c r="F6" t="b">
        <f>AND(IF(predictwithfallbackConfidences!$E6=predictwithfallbackConfidences!$B6,0,1),IF(predictwithfallbackConfidences!$E6=Sheet1!A$2,1,0))</f>
        <v>0</v>
      </c>
      <c r="G6" t="b">
        <f>AND(IF(predictwithfallbackConfidences!$E6=predictwithfallbackConfidences!$B6,0,1),IF(predictwithfallbackConfidences!$E6=Sheet1!B$2,1,0))</f>
        <v>0</v>
      </c>
      <c r="H6" t="b">
        <f>AND(IF(predictwithfallbackConfidences!$E6=predictwithfallbackConfidences!$B6,0,1),IF(predictwithfallbackConfidences!$E6=Sheet1!C$2,1,0))</f>
        <v>0</v>
      </c>
      <c r="I6" t="b">
        <f>AND(IF(predictwithfallbackConfidences!$E6=predictwithfallbackConfidences!$B6,0,1),IF(predictwithfallbackConfidences!$E6=Sheet1!D$2,1,0))</f>
        <v>0</v>
      </c>
      <c r="K6" t="b">
        <f>AND(IF(predictwithfallbackConfidences!$E6=predictwithfallbackConfidences!$B6,0,1),IF(predictwithfallbackConfidences!$B6=Sheet1!A$2,1,0))</f>
        <v>0</v>
      </c>
      <c r="L6" t="b">
        <f>AND(IF(predictwithfallbackConfidences!$E6=predictwithfallbackConfidences!$B6,0,1),IF(predictwithfallbackConfidences!$B6=Sheet1!B$2,1,0))</f>
        <v>0</v>
      </c>
      <c r="M6" t="b">
        <f>AND(IF(predictwithfallbackConfidences!$E6=predictwithfallbackConfidences!$B6,0,1),IF(predictwithfallbackConfidences!$B6=Sheet1!C$2,1,0))</f>
        <v>0</v>
      </c>
      <c r="N6" t="b">
        <f>AND(IF(predictwithfallbackConfidences!$E6=predictwithfallbackConfidences!$B6,0,1),IF(predictwithfallbackConfidences!$B6=Sheet1!D$2,1,0))</f>
        <v>0</v>
      </c>
      <c r="Q6" t="b">
        <f>AND(IF(predictwithfallbackConfidences!$F6=predictwithfallbackConfidences!$B6,1,0),IF(predictwithfallbackConfidences!$F6=Sheet1!A$2,1,0))</f>
        <v>1</v>
      </c>
      <c r="R6" t="b">
        <f>AND(IF(predictwithfallbackConfidences!$F6=predictwithfallbackConfidences!$B6,1,0),IF(predictwithfallbackConfidences!$F6=Sheet1!B$2,1,0))</f>
        <v>0</v>
      </c>
      <c r="S6" t="b">
        <f>AND(IF(predictwithfallbackConfidences!$F6=predictwithfallbackConfidences!$B6,1,0),IF(predictwithfallbackConfidences!$F6=Sheet1!C$2,1,0))</f>
        <v>0</v>
      </c>
      <c r="T6" t="b">
        <f>AND(IF(predictwithfallbackConfidences!$F6=predictwithfallbackConfidences!$B6,1,0),IF(predictwithfallbackConfidences!$F6=Sheet1!D$2,1,0))</f>
        <v>0</v>
      </c>
      <c r="V6" t="b">
        <f>AND(IF(predictwithfallbackConfidences!$F6=predictwithfallbackConfidences!$B6,0,1),IF(predictwithfallbackConfidences!$F6=Sheet1!A$2,1,0))</f>
        <v>0</v>
      </c>
      <c r="W6" t="b">
        <f>AND(IF(predictwithfallbackConfidences!$F6=predictwithfallbackConfidences!$B6,0,1),IF(predictwithfallbackConfidences!$F6=Sheet1!B$2,1,0))</f>
        <v>0</v>
      </c>
      <c r="X6" t="b">
        <f>AND(IF(predictwithfallbackConfidences!$F6=predictwithfallbackConfidences!$B6,0,1),IF(predictwithfallbackConfidences!$F6=Sheet1!C$2,1,0))</f>
        <v>0</v>
      </c>
      <c r="Y6" t="b">
        <f>AND(IF(predictwithfallbackConfidences!$F6=predictwithfallbackConfidences!$B6,0,1),IF(predictwithfallbackConfidences!$F6=Sheet1!D$2,1,0))</f>
        <v>0</v>
      </c>
      <c r="AA6" t="b">
        <f>AND(IF(predictwithfallbackConfidences!$F6=predictwithfallbackConfidences!$B6,0,1),IF(predictwithfallbackConfidences!$B6=Sheet1!A$2,1,0))</f>
        <v>0</v>
      </c>
      <c r="AB6" t="b">
        <f>AND(IF(predictwithfallbackConfidences!$F6=predictwithfallbackConfidences!$B6,0,1),IF(predictwithfallbackConfidences!$B6=Sheet1!B$2,1,0))</f>
        <v>0</v>
      </c>
      <c r="AC6" t="b">
        <f>AND(IF(predictwithfallbackConfidences!$F6=predictwithfallbackConfidences!$B6,0,1),IF(predictwithfallbackConfidences!$B6=Sheet1!C$2,1,0))</f>
        <v>0</v>
      </c>
      <c r="AD6" t="b">
        <f>AND(IF(predictwithfallbackConfidences!$F6=predictwithfallbackConfidences!$B6,0,1),IF(predictwithfallbackConfidences!$B6=Sheet1!D$2,1,0))</f>
        <v>0</v>
      </c>
      <c r="AF6" t="s">
        <v>105</v>
      </c>
      <c r="AG6">
        <v>5</v>
      </c>
      <c r="AH6">
        <v>8</v>
      </c>
      <c r="AI6">
        <v>11</v>
      </c>
      <c r="AJ6">
        <v>13</v>
      </c>
    </row>
    <row r="7" spans="1:36" x14ac:dyDescent="0.25">
      <c r="A7" t="b">
        <f>AND(IF(predictwithfallbackConfidences!$E7=predictwithfallbackConfidences!$B7,1,0),IF(predictwithfallbackConfidences!$E7=Sheet1!A$2,1,0))</f>
        <v>0</v>
      </c>
      <c r="B7" t="b">
        <f>AND(IF(predictwithfallbackConfidences!$E7=predictwithfallbackConfidences!$B7,1,0),IF(predictwithfallbackConfidences!$E7=Sheet1!B$2,1,0))</f>
        <v>0</v>
      </c>
      <c r="C7" t="b">
        <f>AND(IF(predictwithfallbackConfidences!$E7=predictwithfallbackConfidences!$B7,1,0),IF(predictwithfallbackConfidences!$E7=Sheet1!C$2,1,0))</f>
        <v>0</v>
      </c>
      <c r="D7" t="b">
        <f>AND(IF(predictwithfallbackConfidences!$E7=predictwithfallbackConfidences!$B7,1,0),IF(predictwithfallbackConfidences!$E7=Sheet1!D$2,1,0))</f>
        <v>0</v>
      </c>
      <c r="F7" t="b">
        <f>AND(IF(predictwithfallbackConfidences!$E7=predictwithfallbackConfidences!$B7,0,1),IF(predictwithfallbackConfidences!$E7=Sheet1!A$2,1,0))</f>
        <v>0</v>
      </c>
      <c r="G7" t="b">
        <f>AND(IF(predictwithfallbackConfidences!$E7=predictwithfallbackConfidences!$B7,0,1),IF(predictwithfallbackConfidences!$E7=Sheet1!B$2,1,0))</f>
        <v>0</v>
      </c>
      <c r="H7" t="b">
        <f>AND(IF(predictwithfallbackConfidences!$E7=predictwithfallbackConfidences!$B7,0,1),IF(predictwithfallbackConfidences!$E7=Sheet1!C$2,1,0))</f>
        <v>0</v>
      </c>
      <c r="I7" t="b">
        <f>AND(IF(predictwithfallbackConfidences!$E7=predictwithfallbackConfidences!$B7,0,1),IF(predictwithfallbackConfidences!$E7=Sheet1!D$2,1,0))</f>
        <v>1</v>
      </c>
      <c r="K7" t="b">
        <f>AND(IF(predictwithfallbackConfidences!$E7=predictwithfallbackConfidences!$B7,0,1),IF(predictwithfallbackConfidences!$B7=Sheet1!A$2,1,0))</f>
        <v>1</v>
      </c>
      <c r="L7" t="b">
        <f>AND(IF(predictwithfallbackConfidences!$E7=predictwithfallbackConfidences!$B7,0,1),IF(predictwithfallbackConfidences!$B7=Sheet1!B$2,1,0))</f>
        <v>0</v>
      </c>
      <c r="M7" t="b">
        <f>AND(IF(predictwithfallbackConfidences!$E7=predictwithfallbackConfidences!$B7,0,1),IF(predictwithfallbackConfidences!$B7=Sheet1!C$2,1,0))</f>
        <v>0</v>
      </c>
      <c r="N7" t="b">
        <f>AND(IF(predictwithfallbackConfidences!$E7=predictwithfallbackConfidences!$B7,0,1),IF(predictwithfallbackConfidences!$B7=Sheet1!D$2,1,0))</f>
        <v>0</v>
      </c>
      <c r="Q7" t="b">
        <f>AND(IF(predictwithfallbackConfidences!$F7=predictwithfallbackConfidences!$B7,1,0),IF(predictwithfallbackConfidences!$F7=Sheet1!A$2,1,0))</f>
        <v>0</v>
      </c>
      <c r="R7" t="b">
        <f>AND(IF(predictwithfallbackConfidences!$F7=predictwithfallbackConfidences!$B7,1,0),IF(predictwithfallbackConfidences!$F7=Sheet1!B$2,1,0))</f>
        <v>0</v>
      </c>
      <c r="S7" t="b">
        <f>AND(IF(predictwithfallbackConfidences!$F7=predictwithfallbackConfidences!$B7,1,0),IF(predictwithfallbackConfidences!$F7=Sheet1!C$2,1,0))</f>
        <v>0</v>
      </c>
      <c r="T7" t="b">
        <f>AND(IF(predictwithfallbackConfidences!$F7=predictwithfallbackConfidences!$B7,1,0),IF(predictwithfallbackConfidences!$F7=Sheet1!D$2,1,0))</f>
        <v>0</v>
      </c>
      <c r="V7" t="b">
        <f>AND(IF(predictwithfallbackConfidences!$F7=predictwithfallbackConfidences!$B7,0,1),IF(predictwithfallbackConfidences!$F7=Sheet1!A$2,1,0))</f>
        <v>0</v>
      </c>
      <c r="W7" t="b">
        <f>AND(IF(predictwithfallbackConfidences!$F7=predictwithfallbackConfidences!$B7,0,1),IF(predictwithfallbackConfidences!$F7=Sheet1!B$2,1,0))</f>
        <v>0</v>
      </c>
      <c r="X7" t="b">
        <f>AND(IF(predictwithfallbackConfidences!$F7=predictwithfallbackConfidences!$B7,0,1),IF(predictwithfallbackConfidences!$F7=Sheet1!C$2,1,0))</f>
        <v>0</v>
      </c>
      <c r="Y7" t="b">
        <f>AND(IF(predictwithfallbackConfidences!$F7=predictwithfallbackConfidences!$B7,0,1),IF(predictwithfallbackConfidences!$F7=Sheet1!D$2,1,0))</f>
        <v>1</v>
      </c>
      <c r="AA7" t="b">
        <f>AND(IF(predictwithfallbackConfidences!$F7=predictwithfallbackConfidences!$B7,0,1),IF(predictwithfallbackConfidences!$B7=Sheet1!A$2,1,0))</f>
        <v>1</v>
      </c>
      <c r="AB7" t="b">
        <f>AND(IF(predictwithfallbackConfidences!$F7=predictwithfallbackConfidences!$B7,0,1),IF(predictwithfallbackConfidences!$B7=Sheet1!B$2,1,0))</f>
        <v>0</v>
      </c>
      <c r="AC7" t="b">
        <f>AND(IF(predictwithfallbackConfidences!$F7=predictwithfallbackConfidences!$B7,0,1),IF(predictwithfallbackConfidences!$B7=Sheet1!C$2,1,0))</f>
        <v>0</v>
      </c>
      <c r="AD7" t="b">
        <f>AND(IF(predictwithfallbackConfidences!$F7=predictwithfallbackConfidences!$B7,0,1),IF(predictwithfallbackConfidences!$B7=Sheet1!D$2,1,0))</f>
        <v>0</v>
      </c>
      <c r="AF7" t="s">
        <v>87</v>
      </c>
      <c r="AG7">
        <v>8</v>
      </c>
      <c r="AH7">
        <v>9</v>
      </c>
      <c r="AI7">
        <v>3</v>
      </c>
      <c r="AJ7">
        <v>3</v>
      </c>
    </row>
    <row r="8" spans="1:36" x14ac:dyDescent="0.25">
      <c r="A8" t="b">
        <f>AND(IF(predictwithfallbackConfidences!$E8=predictwithfallbackConfidences!$B8,1,0),IF(predictwithfallbackConfidences!$E8=Sheet1!A$2,1,0))</f>
        <v>0</v>
      </c>
      <c r="B8" t="b">
        <f>AND(IF(predictwithfallbackConfidences!$E8=predictwithfallbackConfidences!$B8,1,0),IF(predictwithfallbackConfidences!$E8=Sheet1!B$2,1,0))</f>
        <v>0</v>
      </c>
      <c r="C8" t="b">
        <f>AND(IF(predictwithfallbackConfidences!$E8=predictwithfallbackConfidences!$B8,1,0),IF(predictwithfallbackConfidences!$E8=Sheet1!C$2,1,0))</f>
        <v>0</v>
      </c>
      <c r="D8" t="b">
        <f>AND(IF(predictwithfallbackConfidences!$E8=predictwithfallbackConfidences!$B8,1,0),IF(predictwithfallbackConfidences!$E8=Sheet1!D$2,1,0))</f>
        <v>0</v>
      </c>
      <c r="F8" t="b">
        <f>AND(IF(predictwithfallbackConfidences!$E8=predictwithfallbackConfidences!$B8,0,1),IF(predictwithfallbackConfidences!$E8=Sheet1!A$2,1,0))</f>
        <v>0</v>
      </c>
      <c r="G8" t="b">
        <f>AND(IF(predictwithfallbackConfidences!$E8=predictwithfallbackConfidences!$B8,0,1),IF(predictwithfallbackConfidences!$E8=Sheet1!B$2,1,0))</f>
        <v>1</v>
      </c>
      <c r="H8" t="b">
        <f>AND(IF(predictwithfallbackConfidences!$E8=predictwithfallbackConfidences!$B8,0,1),IF(predictwithfallbackConfidences!$E8=Sheet1!C$2,1,0))</f>
        <v>0</v>
      </c>
      <c r="I8" t="b">
        <f>AND(IF(predictwithfallbackConfidences!$E8=predictwithfallbackConfidences!$B8,0,1),IF(predictwithfallbackConfidences!$E8=Sheet1!D$2,1,0))</f>
        <v>0</v>
      </c>
      <c r="K8" t="b">
        <f>AND(IF(predictwithfallbackConfidences!$E8=predictwithfallbackConfidences!$B8,0,1),IF(predictwithfallbackConfidences!$B8=Sheet1!A$2,1,0))</f>
        <v>1</v>
      </c>
      <c r="L8" t="b">
        <f>AND(IF(predictwithfallbackConfidences!$E8=predictwithfallbackConfidences!$B8,0,1),IF(predictwithfallbackConfidences!$B8=Sheet1!B$2,1,0))</f>
        <v>0</v>
      </c>
      <c r="M8" t="b">
        <f>AND(IF(predictwithfallbackConfidences!$E8=predictwithfallbackConfidences!$B8,0,1),IF(predictwithfallbackConfidences!$B8=Sheet1!C$2,1,0))</f>
        <v>0</v>
      </c>
      <c r="N8" t="b">
        <f>AND(IF(predictwithfallbackConfidences!$E8=predictwithfallbackConfidences!$B8,0,1),IF(predictwithfallbackConfidences!$B8=Sheet1!D$2,1,0))</f>
        <v>0</v>
      </c>
      <c r="Q8" t="b">
        <f>AND(IF(predictwithfallbackConfidences!$F8=predictwithfallbackConfidences!$B8,1,0),IF(predictwithfallbackConfidences!$F8=Sheet1!A$2,1,0))</f>
        <v>0</v>
      </c>
      <c r="R8" t="b">
        <f>AND(IF(predictwithfallbackConfidences!$F8=predictwithfallbackConfidences!$B8,1,0),IF(predictwithfallbackConfidences!$F8=Sheet1!B$2,1,0))</f>
        <v>0</v>
      </c>
      <c r="S8" t="b">
        <f>AND(IF(predictwithfallbackConfidences!$F8=predictwithfallbackConfidences!$B8,1,0),IF(predictwithfallbackConfidences!$F8=Sheet1!C$2,1,0))</f>
        <v>0</v>
      </c>
      <c r="T8" t="b">
        <f>AND(IF(predictwithfallbackConfidences!$F8=predictwithfallbackConfidences!$B8,1,0),IF(predictwithfallbackConfidences!$F8=Sheet1!D$2,1,0))</f>
        <v>0</v>
      </c>
      <c r="V8" t="b">
        <f>AND(IF(predictwithfallbackConfidences!$F8=predictwithfallbackConfidences!$B8,0,1),IF(predictwithfallbackConfidences!$F8=Sheet1!A$2,1,0))</f>
        <v>0</v>
      </c>
      <c r="W8" t="b">
        <f>AND(IF(predictwithfallbackConfidences!$F8=predictwithfallbackConfidences!$B8,0,1),IF(predictwithfallbackConfidences!$F8=Sheet1!B$2,1,0))</f>
        <v>1</v>
      </c>
      <c r="X8" t="b">
        <f>AND(IF(predictwithfallbackConfidences!$F8=predictwithfallbackConfidences!$B8,0,1),IF(predictwithfallbackConfidences!$F8=Sheet1!C$2,1,0))</f>
        <v>0</v>
      </c>
      <c r="Y8" t="b">
        <f>AND(IF(predictwithfallbackConfidences!$F8=predictwithfallbackConfidences!$B8,0,1),IF(predictwithfallbackConfidences!$F8=Sheet1!D$2,1,0))</f>
        <v>0</v>
      </c>
      <c r="AA8" t="b">
        <f>AND(IF(predictwithfallbackConfidences!$F8=predictwithfallbackConfidences!$B8,0,1),IF(predictwithfallbackConfidences!$B8=Sheet1!A$2,1,0))</f>
        <v>1</v>
      </c>
      <c r="AB8" t="b">
        <f>AND(IF(predictwithfallbackConfidences!$F8=predictwithfallbackConfidences!$B8,0,1),IF(predictwithfallbackConfidences!$B8=Sheet1!B$2,1,0))</f>
        <v>0</v>
      </c>
      <c r="AC8" t="b">
        <f>AND(IF(predictwithfallbackConfidences!$F8=predictwithfallbackConfidences!$B8,0,1),IF(predictwithfallbackConfidences!$B8=Sheet1!C$2,1,0))</f>
        <v>0</v>
      </c>
      <c r="AD8" t="b">
        <f>AND(IF(predictwithfallbackConfidences!$F8=predictwithfallbackConfidences!$B8,0,1),IF(predictwithfallbackConfidences!$B8=Sheet1!D$2,1,0))</f>
        <v>0</v>
      </c>
      <c r="AF8" t="s">
        <v>88</v>
      </c>
      <c r="AG8">
        <v>10</v>
      </c>
      <c r="AH8">
        <v>7</v>
      </c>
      <c r="AI8">
        <v>4</v>
      </c>
      <c r="AJ8">
        <v>2</v>
      </c>
    </row>
    <row r="9" spans="1:36" x14ac:dyDescent="0.25">
      <c r="A9" t="b">
        <f>AND(IF(predictwithfallbackConfidences!$E9=predictwithfallbackConfidences!$B9,1,0),IF(predictwithfallbackConfidences!$E9=Sheet1!A$2,1,0))</f>
        <v>0</v>
      </c>
      <c r="B9" t="b">
        <f>AND(IF(predictwithfallbackConfidences!$E9=predictwithfallbackConfidences!$B9,1,0),IF(predictwithfallbackConfidences!$E9=Sheet1!B$2,1,0))</f>
        <v>0</v>
      </c>
      <c r="C9" t="b">
        <f>AND(IF(predictwithfallbackConfidences!$E9=predictwithfallbackConfidences!$B9,1,0),IF(predictwithfallbackConfidences!$E9=Sheet1!C$2,1,0))</f>
        <v>0</v>
      </c>
      <c r="D9" t="b">
        <f>AND(IF(predictwithfallbackConfidences!$E9=predictwithfallbackConfidences!$B9,1,0),IF(predictwithfallbackConfidences!$E9=Sheet1!D$2,1,0))</f>
        <v>0</v>
      </c>
      <c r="F9" t="b">
        <f>AND(IF(predictwithfallbackConfidences!$E9=predictwithfallbackConfidences!$B9,0,1),IF(predictwithfallbackConfidences!$E9=Sheet1!A$2,1,0))</f>
        <v>0</v>
      </c>
      <c r="G9" t="b">
        <f>AND(IF(predictwithfallbackConfidences!$E9=predictwithfallbackConfidences!$B9,0,1),IF(predictwithfallbackConfidences!$E9=Sheet1!B$2,1,0))</f>
        <v>1</v>
      </c>
      <c r="H9" t="b">
        <f>AND(IF(predictwithfallbackConfidences!$E9=predictwithfallbackConfidences!$B9,0,1),IF(predictwithfallbackConfidences!$E9=Sheet1!C$2,1,0))</f>
        <v>0</v>
      </c>
      <c r="I9" t="b">
        <f>AND(IF(predictwithfallbackConfidences!$E9=predictwithfallbackConfidences!$B9,0,1),IF(predictwithfallbackConfidences!$E9=Sheet1!D$2,1,0))</f>
        <v>0</v>
      </c>
      <c r="K9" t="b">
        <f>AND(IF(predictwithfallbackConfidences!$E9=predictwithfallbackConfidences!$B9,0,1),IF(predictwithfallbackConfidences!$B9=Sheet1!A$2,1,0))</f>
        <v>1</v>
      </c>
      <c r="L9" t="b">
        <f>AND(IF(predictwithfallbackConfidences!$E9=predictwithfallbackConfidences!$B9,0,1),IF(predictwithfallbackConfidences!$B9=Sheet1!B$2,1,0))</f>
        <v>0</v>
      </c>
      <c r="M9" t="b">
        <f>AND(IF(predictwithfallbackConfidences!$E9=predictwithfallbackConfidences!$B9,0,1),IF(predictwithfallbackConfidences!$B9=Sheet1!C$2,1,0))</f>
        <v>0</v>
      </c>
      <c r="N9" t="b">
        <f>AND(IF(predictwithfallbackConfidences!$E9=predictwithfallbackConfidences!$B9,0,1),IF(predictwithfallbackConfidences!$B9=Sheet1!D$2,1,0))</f>
        <v>0</v>
      </c>
      <c r="Q9" t="b">
        <f>AND(IF(predictwithfallbackConfidences!$F9=predictwithfallbackConfidences!$B9,1,0),IF(predictwithfallbackConfidences!$F9=Sheet1!A$2,1,0))</f>
        <v>0</v>
      </c>
      <c r="R9" t="b">
        <f>AND(IF(predictwithfallbackConfidences!$F9=predictwithfallbackConfidences!$B9,1,0),IF(predictwithfallbackConfidences!$F9=Sheet1!B$2,1,0))</f>
        <v>0</v>
      </c>
      <c r="S9" t="b">
        <f>AND(IF(predictwithfallbackConfidences!$F9=predictwithfallbackConfidences!$B9,1,0),IF(predictwithfallbackConfidences!$F9=Sheet1!C$2,1,0))</f>
        <v>0</v>
      </c>
      <c r="T9" t="b">
        <f>AND(IF(predictwithfallbackConfidences!$F9=predictwithfallbackConfidences!$B9,1,0),IF(predictwithfallbackConfidences!$F9=Sheet1!D$2,1,0))</f>
        <v>0</v>
      </c>
      <c r="V9" t="b">
        <f>AND(IF(predictwithfallbackConfidences!$F9=predictwithfallbackConfidences!$B9,0,1),IF(predictwithfallbackConfidences!$F9=Sheet1!A$2,1,0))</f>
        <v>0</v>
      </c>
      <c r="W9" t="b">
        <f>AND(IF(predictwithfallbackConfidences!$F9=predictwithfallbackConfidences!$B9,0,1),IF(predictwithfallbackConfidences!$F9=Sheet1!B$2,1,0))</f>
        <v>1</v>
      </c>
      <c r="X9" t="b">
        <f>AND(IF(predictwithfallbackConfidences!$F9=predictwithfallbackConfidences!$B9,0,1),IF(predictwithfallbackConfidences!$F9=Sheet1!C$2,1,0))</f>
        <v>0</v>
      </c>
      <c r="Y9" t="b">
        <f>AND(IF(predictwithfallbackConfidences!$F9=predictwithfallbackConfidences!$B9,0,1),IF(predictwithfallbackConfidences!$F9=Sheet1!D$2,1,0))</f>
        <v>0</v>
      </c>
      <c r="AA9" t="b">
        <f>AND(IF(predictwithfallbackConfidences!$F9=predictwithfallbackConfidences!$B9,0,1),IF(predictwithfallbackConfidences!$B9=Sheet1!A$2,1,0))</f>
        <v>1</v>
      </c>
      <c r="AB9" t="b">
        <f>AND(IF(predictwithfallbackConfidences!$F9=predictwithfallbackConfidences!$B9,0,1),IF(predictwithfallbackConfidences!$B9=Sheet1!B$2,1,0))</f>
        <v>0</v>
      </c>
      <c r="AC9" t="b">
        <f>AND(IF(predictwithfallbackConfidences!$F9=predictwithfallbackConfidences!$B9,0,1),IF(predictwithfallbackConfidences!$B9=Sheet1!C$2,1,0))</f>
        <v>0</v>
      </c>
      <c r="AD9" t="b">
        <f>AND(IF(predictwithfallbackConfidences!$F9=predictwithfallbackConfidences!$B9,0,1),IF(predictwithfallbackConfidences!$B9=Sheet1!D$2,1,0))</f>
        <v>0</v>
      </c>
      <c r="AF9" t="s">
        <v>107</v>
      </c>
      <c r="AG9">
        <f>SUM(AG6:AG7)</f>
        <v>13</v>
      </c>
      <c r="AH9">
        <f t="shared" ref="AH9:AJ9" si="0">SUM(AH6:AH7)</f>
        <v>17</v>
      </c>
      <c r="AI9">
        <f t="shared" si="0"/>
        <v>14</v>
      </c>
      <c r="AJ9">
        <f t="shared" si="0"/>
        <v>16</v>
      </c>
    </row>
    <row r="10" spans="1:36" x14ac:dyDescent="0.25">
      <c r="A10" t="b">
        <f>AND(IF(predictwithfallbackConfidences!$E10=predictwithfallbackConfidences!$B10,1,0),IF(predictwithfallbackConfidences!$E10=Sheet1!A$2,1,0))</f>
        <v>0</v>
      </c>
      <c r="B10" t="b">
        <f>AND(IF(predictwithfallbackConfidences!$E10=predictwithfallbackConfidences!$B10,1,0),IF(predictwithfallbackConfidences!$E10=Sheet1!B$2,1,0))</f>
        <v>0</v>
      </c>
      <c r="C10" t="b">
        <f>AND(IF(predictwithfallbackConfidences!$E10=predictwithfallbackConfidences!$B10,1,0),IF(predictwithfallbackConfidences!$E10=Sheet1!C$2,1,0))</f>
        <v>0</v>
      </c>
      <c r="D10" t="b">
        <f>AND(IF(predictwithfallbackConfidences!$E10=predictwithfallbackConfidences!$B10,1,0),IF(predictwithfallbackConfidences!$E10=Sheet1!D$2,1,0))</f>
        <v>0</v>
      </c>
      <c r="F10" t="b">
        <f>AND(IF(predictwithfallbackConfidences!$E10=predictwithfallbackConfidences!$B10,0,1),IF(predictwithfallbackConfidences!$E10=Sheet1!A$2,1,0))</f>
        <v>0</v>
      </c>
      <c r="G10" t="b">
        <f>AND(IF(predictwithfallbackConfidences!$E10=predictwithfallbackConfidences!$B10,0,1),IF(predictwithfallbackConfidences!$E10=Sheet1!B$2,1,0))</f>
        <v>1</v>
      </c>
      <c r="H10" t="b">
        <f>AND(IF(predictwithfallbackConfidences!$E10=predictwithfallbackConfidences!$B10,0,1),IF(predictwithfallbackConfidences!$E10=Sheet1!C$2,1,0))</f>
        <v>0</v>
      </c>
      <c r="I10" t="b">
        <f>AND(IF(predictwithfallbackConfidences!$E10=predictwithfallbackConfidences!$B10,0,1),IF(predictwithfallbackConfidences!$E10=Sheet1!D$2,1,0))</f>
        <v>0</v>
      </c>
      <c r="K10" t="b">
        <f>AND(IF(predictwithfallbackConfidences!$E10=predictwithfallbackConfidences!$B10,0,1),IF(predictwithfallbackConfidences!$B10=Sheet1!A$2,1,0))</f>
        <v>1</v>
      </c>
      <c r="L10" t="b">
        <f>AND(IF(predictwithfallbackConfidences!$E10=predictwithfallbackConfidences!$B10,0,1),IF(predictwithfallbackConfidences!$B10=Sheet1!B$2,1,0))</f>
        <v>0</v>
      </c>
      <c r="M10" t="b">
        <f>AND(IF(predictwithfallbackConfidences!$E10=predictwithfallbackConfidences!$B10,0,1),IF(predictwithfallbackConfidences!$B10=Sheet1!C$2,1,0))</f>
        <v>0</v>
      </c>
      <c r="N10" t="b">
        <f>AND(IF(predictwithfallbackConfidences!$E10=predictwithfallbackConfidences!$B10,0,1),IF(predictwithfallbackConfidences!$B10=Sheet1!D$2,1,0))</f>
        <v>0</v>
      </c>
      <c r="Q10" t="b">
        <f>AND(IF(predictwithfallbackConfidences!$F10=predictwithfallbackConfidences!$B10,1,0),IF(predictwithfallbackConfidences!$F10=Sheet1!A$2,1,0))</f>
        <v>0</v>
      </c>
      <c r="R10" t="b">
        <f>AND(IF(predictwithfallbackConfidences!$F10=predictwithfallbackConfidences!$B10,1,0),IF(predictwithfallbackConfidences!$F10=Sheet1!B$2,1,0))</f>
        <v>0</v>
      </c>
      <c r="S10" t="b">
        <f>AND(IF(predictwithfallbackConfidences!$F10=predictwithfallbackConfidences!$B10,1,0),IF(predictwithfallbackConfidences!$F10=Sheet1!C$2,1,0))</f>
        <v>0</v>
      </c>
      <c r="T10" t="b">
        <f>AND(IF(predictwithfallbackConfidences!$F10=predictwithfallbackConfidences!$B10,1,0),IF(predictwithfallbackConfidences!$F10=Sheet1!D$2,1,0))</f>
        <v>0</v>
      </c>
      <c r="V10" t="b">
        <f>AND(IF(predictwithfallbackConfidences!$F10=predictwithfallbackConfidences!$B10,0,1),IF(predictwithfallbackConfidences!$F10=Sheet1!A$2,1,0))</f>
        <v>0</v>
      </c>
      <c r="W10" t="b">
        <f>AND(IF(predictwithfallbackConfidences!$F10=predictwithfallbackConfidences!$B10,0,1),IF(predictwithfallbackConfidences!$F10=Sheet1!B$2,1,0))</f>
        <v>1</v>
      </c>
      <c r="X10" t="b">
        <f>AND(IF(predictwithfallbackConfidences!$F10=predictwithfallbackConfidences!$B10,0,1),IF(predictwithfallbackConfidences!$F10=Sheet1!C$2,1,0))</f>
        <v>0</v>
      </c>
      <c r="Y10" t="b">
        <f>AND(IF(predictwithfallbackConfidences!$F10=predictwithfallbackConfidences!$B10,0,1),IF(predictwithfallbackConfidences!$F10=Sheet1!D$2,1,0))</f>
        <v>0</v>
      </c>
      <c r="AA10" t="b">
        <f>AND(IF(predictwithfallbackConfidences!$F10=predictwithfallbackConfidences!$B10,0,1),IF(predictwithfallbackConfidences!$B10=Sheet1!A$2,1,0))</f>
        <v>1</v>
      </c>
      <c r="AB10" t="b">
        <f>AND(IF(predictwithfallbackConfidences!$F10=predictwithfallbackConfidences!$B10,0,1),IF(predictwithfallbackConfidences!$B10=Sheet1!B$2,1,0))</f>
        <v>0</v>
      </c>
      <c r="AC10" t="b">
        <f>AND(IF(predictwithfallbackConfidences!$F10=predictwithfallbackConfidences!$B10,0,1),IF(predictwithfallbackConfidences!$B10=Sheet1!C$2,1,0))</f>
        <v>0</v>
      </c>
      <c r="AD10" t="b">
        <f>AND(IF(predictwithfallbackConfidences!$F10=predictwithfallbackConfidences!$B10,0,1),IF(predictwithfallbackConfidences!$B10=Sheet1!D$2,1,0))</f>
        <v>0</v>
      </c>
      <c r="AG10" t="s">
        <v>106</v>
      </c>
    </row>
    <row r="11" spans="1:36" x14ac:dyDescent="0.25">
      <c r="A11" t="b">
        <f>AND(IF(predictwithfallbackConfidences!$E11=predictwithfallbackConfidences!$B11,1,0),IF(predictwithfallbackConfidences!$E11=Sheet1!A$2,1,0))</f>
        <v>0</v>
      </c>
      <c r="B11" t="b">
        <f>AND(IF(predictwithfallbackConfidences!$E11=predictwithfallbackConfidences!$B11,1,0),IF(predictwithfallbackConfidences!$E11=Sheet1!B$2,1,0))</f>
        <v>0</v>
      </c>
      <c r="C11" t="b">
        <f>AND(IF(predictwithfallbackConfidences!$E11=predictwithfallbackConfidences!$B11,1,0),IF(predictwithfallbackConfidences!$E11=Sheet1!C$2,1,0))</f>
        <v>0</v>
      </c>
      <c r="D11" t="b">
        <f>AND(IF(predictwithfallbackConfidences!$E11=predictwithfallbackConfidences!$B11,1,0),IF(predictwithfallbackConfidences!$E11=Sheet1!D$2,1,0))</f>
        <v>0</v>
      </c>
      <c r="F11" t="b">
        <f>AND(IF(predictwithfallbackConfidences!$E11=predictwithfallbackConfidences!$B11,0,1),IF(predictwithfallbackConfidences!$E11=Sheet1!A$2,1,0))</f>
        <v>0</v>
      </c>
      <c r="G11" t="b">
        <f>AND(IF(predictwithfallbackConfidences!$E11=predictwithfallbackConfidences!$B11,0,1),IF(predictwithfallbackConfidences!$E11=Sheet1!B$2,1,0))</f>
        <v>0</v>
      </c>
      <c r="H11" t="b">
        <f>AND(IF(predictwithfallbackConfidences!$E11=predictwithfallbackConfidences!$B11,0,1),IF(predictwithfallbackConfidences!$E11=Sheet1!C$2,1,0))</f>
        <v>1</v>
      </c>
      <c r="I11" t="b">
        <f>AND(IF(predictwithfallbackConfidences!$E11=predictwithfallbackConfidences!$B11,0,1),IF(predictwithfallbackConfidences!$E11=Sheet1!D$2,1,0))</f>
        <v>0</v>
      </c>
      <c r="K11" t="b">
        <f>AND(IF(predictwithfallbackConfidences!$E11=predictwithfallbackConfidences!$B11,0,1),IF(predictwithfallbackConfidences!$B11=Sheet1!A$2,1,0))</f>
        <v>1</v>
      </c>
      <c r="L11" t="b">
        <f>AND(IF(predictwithfallbackConfidences!$E11=predictwithfallbackConfidences!$B11,0,1),IF(predictwithfallbackConfidences!$B11=Sheet1!B$2,1,0))</f>
        <v>0</v>
      </c>
      <c r="M11" t="b">
        <f>AND(IF(predictwithfallbackConfidences!$E11=predictwithfallbackConfidences!$B11,0,1),IF(predictwithfallbackConfidences!$B11=Sheet1!C$2,1,0))</f>
        <v>0</v>
      </c>
      <c r="N11" t="b">
        <f>AND(IF(predictwithfallbackConfidences!$E11=predictwithfallbackConfidences!$B11,0,1),IF(predictwithfallbackConfidences!$B11=Sheet1!D$2,1,0))</f>
        <v>0</v>
      </c>
      <c r="Q11" t="b">
        <f>AND(IF(predictwithfallbackConfidences!$F11=predictwithfallbackConfidences!$B11,1,0),IF(predictwithfallbackConfidences!$F11=Sheet1!A$2,1,0))</f>
        <v>0</v>
      </c>
      <c r="R11" t="b">
        <f>AND(IF(predictwithfallbackConfidences!$F11=predictwithfallbackConfidences!$B11,1,0),IF(predictwithfallbackConfidences!$F11=Sheet1!B$2,1,0))</f>
        <v>0</v>
      </c>
      <c r="S11" t="b">
        <f>AND(IF(predictwithfallbackConfidences!$F11=predictwithfallbackConfidences!$B11,1,0),IF(predictwithfallbackConfidences!$F11=Sheet1!C$2,1,0))</f>
        <v>0</v>
      </c>
      <c r="T11" t="b">
        <f>AND(IF(predictwithfallbackConfidences!$F11=predictwithfallbackConfidences!$B11,1,0),IF(predictwithfallbackConfidences!$F11=Sheet1!D$2,1,0))</f>
        <v>0</v>
      </c>
      <c r="V11" t="b">
        <f>AND(IF(predictwithfallbackConfidences!$F11=predictwithfallbackConfidences!$B11,0,1),IF(predictwithfallbackConfidences!$F11=Sheet1!A$2,1,0))</f>
        <v>0</v>
      </c>
      <c r="W11" t="b">
        <f>AND(IF(predictwithfallbackConfidences!$F11=predictwithfallbackConfidences!$B11,0,1),IF(predictwithfallbackConfidences!$F11=Sheet1!B$2,1,0))</f>
        <v>0</v>
      </c>
      <c r="X11" t="b">
        <f>AND(IF(predictwithfallbackConfidences!$F11=predictwithfallbackConfidences!$B11,0,1),IF(predictwithfallbackConfidences!$F11=Sheet1!C$2,1,0))</f>
        <v>1</v>
      </c>
      <c r="Y11" t="b">
        <f>AND(IF(predictwithfallbackConfidences!$F11=predictwithfallbackConfidences!$B11,0,1),IF(predictwithfallbackConfidences!$F11=Sheet1!D$2,1,0))</f>
        <v>0</v>
      </c>
      <c r="AA11" t="b">
        <f>AND(IF(predictwithfallbackConfidences!$F11=predictwithfallbackConfidences!$B11,0,1),IF(predictwithfallbackConfidences!$B11=Sheet1!A$2,1,0))</f>
        <v>1</v>
      </c>
      <c r="AB11" t="b">
        <f>AND(IF(predictwithfallbackConfidences!$F11=predictwithfallbackConfidences!$B11,0,1),IF(predictwithfallbackConfidences!$B11=Sheet1!B$2,1,0))</f>
        <v>0</v>
      </c>
      <c r="AC11" t="b">
        <f>AND(IF(predictwithfallbackConfidences!$F11=predictwithfallbackConfidences!$B11,0,1),IF(predictwithfallbackConfidences!$B11=Sheet1!C$2,1,0))</f>
        <v>0</v>
      </c>
      <c r="AD11" t="b">
        <f>AND(IF(predictwithfallbackConfidences!$F11=predictwithfallbackConfidences!$B11,0,1),IF(predictwithfallbackConfidences!$B11=Sheet1!D$2,1,0))</f>
        <v>0</v>
      </c>
      <c r="AG11" t="s">
        <v>3</v>
      </c>
      <c r="AH11" t="s">
        <v>24</v>
      </c>
      <c r="AI11" t="s">
        <v>17</v>
      </c>
      <c r="AJ11" t="s">
        <v>22</v>
      </c>
    </row>
    <row r="12" spans="1:36" x14ac:dyDescent="0.25">
      <c r="A12" t="b">
        <f>AND(IF(predictwithfallbackConfidences!$E12=predictwithfallbackConfidences!$B12,1,0),IF(predictwithfallbackConfidences!$E12=Sheet1!A$2,1,0))</f>
        <v>0</v>
      </c>
      <c r="B12" t="b">
        <f>AND(IF(predictwithfallbackConfidences!$E12=predictwithfallbackConfidences!$B12,1,0),IF(predictwithfallbackConfidences!$E12=Sheet1!B$2,1,0))</f>
        <v>0</v>
      </c>
      <c r="C12" t="b">
        <f>AND(IF(predictwithfallbackConfidences!$E12=predictwithfallbackConfidences!$B12,1,0),IF(predictwithfallbackConfidences!$E12=Sheet1!C$2,1,0))</f>
        <v>0</v>
      </c>
      <c r="D12" t="b">
        <f>AND(IF(predictwithfallbackConfidences!$E12=predictwithfallbackConfidences!$B12,1,0),IF(predictwithfallbackConfidences!$E12=Sheet1!D$2,1,0))</f>
        <v>0</v>
      </c>
      <c r="F12" t="b">
        <f>AND(IF(predictwithfallbackConfidences!$E12=predictwithfallbackConfidences!$B12,0,1),IF(predictwithfallbackConfidences!$E12=Sheet1!A$2,1,0))</f>
        <v>0</v>
      </c>
      <c r="G12" t="b">
        <f>AND(IF(predictwithfallbackConfidences!$E12=predictwithfallbackConfidences!$B12,0,1),IF(predictwithfallbackConfidences!$E12=Sheet1!B$2,1,0))</f>
        <v>1</v>
      </c>
      <c r="H12" t="b">
        <f>AND(IF(predictwithfallbackConfidences!$E12=predictwithfallbackConfidences!$B12,0,1),IF(predictwithfallbackConfidences!$E12=Sheet1!C$2,1,0))</f>
        <v>0</v>
      </c>
      <c r="I12" t="b">
        <f>AND(IF(predictwithfallbackConfidences!$E12=predictwithfallbackConfidences!$B12,0,1),IF(predictwithfallbackConfidences!$E12=Sheet1!D$2,1,0))</f>
        <v>0</v>
      </c>
      <c r="K12" t="b">
        <f>AND(IF(predictwithfallbackConfidences!$E12=predictwithfallbackConfidences!$B12,0,1),IF(predictwithfallbackConfidences!$B12=Sheet1!A$2,1,0))</f>
        <v>1</v>
      </c>
      <c r="L12" t="b">
        <f>AND(IF(predictwithfallbackConfidences!$E12=predictwithfallbackConfidences!$B12,0,1),IF(predictwithfallbackConfidences!$B12=Sheet1!B$2,1,0))</f>
        <v>0</v>
      </c>
      <c r="M12" t="b">
        <f>AND(IF(predictwithfallbackConfidences!$E12=predictwithfallbackConfidences!$B12,0,1),IF(predictwithfallbackConfidences!$B12=Sheet1!C$2,1,0))</f>
        <v>0</v>
      </c>
      <c r="N12" t="b">
        <f>AND(IF(predictwithfallbackConfidences!$E12=predictwithfallbackConfidences!$B12,0,1),IF(predictwithfallbackConfidences!$B12=Sheet1!D$2,1,0))</f>
        <v>0</v>
      </c>
      <c r="Q12" t="b">
        <f>AND(IF(predictwithfallbackConfidences!$F12=predictwithfallbackConfidences!$B12,1,0),IF(predictwithfallbackConfidences!$F12=Sheet1!A$2,1,0))</f>
        <v>0</v>
      </c>
      <c r="R12" t="b">
        <f>AND(IF(predictwithfallbackConfidences!$F12=predictwithfallbackConfidences!$B12,1,0),IF(predictwithfallbackConfidences!$F12=Sheet1!B$2,1,0))</f>
        <v>0</v>
      </c>
      <c r="S12" t="b">
        <f>AND(IF(predictwithfallbackConfidences!$F12=predictwithfallbackConfidences!$B12,1,0),IF(predictwithfallbackConfidences!$F12=Sheet1!C$2,1,0))</f>
        <v>0</v>
      </c>
      <c r="T12" t="b">
        <f>AND(IF(predictwithfallbackConfidences!$F12=predictwithfallbackConfidences!$B12,1,0),IF(predictwithfallbackConfidences!$F12=Sheet1!D$2,1,0))</f>
        <v>0</v>
      </c>
      <c r="V12" t="b">
        <f>AND(IF(predictwithfallbackConfidences!$F12=predictwithfallbackConfidences!$B12,0,1),IF(predictwithfallbackConfidences!$F12=Sheet1!A$2,1,0))</f>
        <v>0</v>
      </c>
      <c r="W12" t="b">
        <f>AND(IF(predictwithfallbackConfidences!$F12=predictwithfallbackConfidences!$B12,0,1),IF(predictwithfallbackConfidences!$F12=Sheet1!B$2,1,0))</f>
        <v>0</v>
      </c>
      <c r="X12" t="b">
        <f>AND(IF(predictwithfallbackConfidences!$F12=predictwithfallbackConfidences!$B12,0,1),IF(predictwithfallbackConfidences!$F12=Sheet1!C$2,1,0))</f>
        <v>0</v>
      </c>
      <c r="Y12" t="b">
        <f>AND(IF(predictwithfallbackConfidences!$F12=predictwithfallbackConfidences!$B12,0,1),IF(predictwithfallbackConfidences!$F12=Sheet1!D$2,1,0))</f>
        <v>1</v>
      </c>
      <c r="AA12" t="b">
        <f>AND(IF(predictwithfallbackConfidences!$F12=predictwithfallbackConfidences!$B12,0,1),IF(predictwithfallbackConfidences!$B12=Sheet1!A$2,1,0))</f>
        <v>1</v>
      </c>
      <c r="AB12" t="b">
        <f>AND(IF(predictwithfallbackConfidences!$F12=predictwithfallbackConfidences!$B12,0,1),IF(predictwithfallbackConfidences!$B12=Sheet1!B$2,1,0))</f>
        <v>0</v>
      </c>
      <c r="AC12" t="b">
        <f>AND(IF(predictwithfallbackConfidences!$F12=predictwithfallbackConfidences!$B12,0,1),IF(predictwithfallbackConfidences!$B12=Sheet1!C$2,1,0))</f>
        <v>0</v>
      </c>
      <c r="AD12" t="b">
        <f>AND(IF(predictwithfallbackConfidences!$F12=predictwithfallbackConfidences!$B12,0,1),IF(predictwithfallbackConfidences!$B12=Sheet1!D$2,1,0))</f>
        <v>0</v>
      </c>
      <c r="AF12" t="s">
        <v>105</v>
      </c>
      <c r="AG12">
        <v>4</v>
      </c>
      <c r="AH12">
        <v>6</v>
      </c>
      <c r="AI12">
        <v>11</v>
      </c>
      <c r="AJ12">
        <v>14</v>
      </c>
    </row>
    <row r="13" spans="1:36" x14ac:dyDescent="0.25">
      <c r="A13" t="b">
        <f>AND(IF(predictwithfallbackConfidences!$E13=predictwithfallbackConfidences!$B13,1,0),IF(predictwithfallbackConfidences!$E13=Sheet1!A$2,1,0))</f>
        <v>0</v>
      </c>
      <c r="B13" t="b">
        <f>AND(IF(predictwithfallbackConfidences!$E13=predictwithfallbackConfidences!$B13,1,0),IF(predictwithfallbackConfidences!$E13=Sheet1!B$2,1,0))</f>
        <v>0</v>
      </c>
      <c r="C13" t="b">
        <f>AND(IF(predictwithfallbackConfidences!$E13=predictwithfallbackConfidences!$B13,1,0),IF(predictwithfallbackConfidences!$E13=Sheet1!C$2,1,0))</f>
        <v>1</v>
      </c>
      <c r="D13" t="b">
        <f>AND(IF(predictwithfallbackConfidences!$E13=predictwithfallbackConfidences!$B13,1,0),IF(predictwithfallbackConfidences!$E13=Sheet1!D$2,1,0))</f>
        <v>0</v>
      </c>
      <c r="F13" t="b">
        <f>AND(IF(predictwithfallbackConfidences!$E13=predictwithfallbackConfidences!$B13,0,1),IF(predictwithfallbackConfidences!$E13=Sheet1!A$2,1,0))</f>
        <v>0</v>
      </c>
      <c r="G13" t="b">
        <f>AND(IF(predictwithfallbackConfidences!$E13=predictwithfallbackConfidences!$B13,0,1),IF(predictwithfallbackConfidences!$E13=Sheet1!B$2,1,0))</f>
        <v>0</v>
      </c>
      <c r="H13" t="b">
        <f>AND(IF(predictwithfallbackConfidences!$E13=predictwithfallbackConfidences!$B13,0,1),IF(predictwithfallbackConfidences!$E13=Sheet1!C$2,1,0))</f>
        <v>0</v>
      </c>
      <c r="I13" t="b">
        <f>AND(IF(predictwithfallbackConfidences!$E13=predictwithfallbackConfidences!$B13,0,1),IF(predictwithfallbackConfidences!$E13=Sheet1!D$2,1,0))</f>
        <v>0</v>
      </c>
      <c r="K13" t="b">
        <f>AND(IF(predictwithfallbackConfidences!$E13=predictwithfallbackConfidences!$B13,0,1),IF(predictwithfallbackConfidences!$B13=Sheet1!A$2,1,0))</f>
        <v>0</v>
      </c>
      <c r="L13" t="b">
        <f>AND(IF(predictwithfallbackConfidences!$E13=predictwithfallbackConfidences!$B13,0,1),IF(predictwithfallbackConfidences!$B13=Sheet1!B$2,1,0))</f>
        <v>0</v>
      </c>
      <c r="M13" t="b">
        <f>AND(IF(predictwithfallbackConfidences!$E13=predictwithfallbackConfidences!$B13,0,1),IF(predictwithfallbackConfidences!$B13=Sheet1!C$2,1,0))</f>
        <v>0</v>
      </c>
      <c r="N13" t="b">
        <f>AND(IF(predictwithfallbackConfidences!$E13=predictwithfallbackConfidences!$B13,0,1),IF(predictwithfallbackConfidences!$B13=Sheet1!D$2,1,0))</f>
        <v>0</v>
      </c>
      <c r="Q13" t="b">
        <f>AND(IF(predictwithfallbackConfidences!$F13=predictwithfallbackConfidences!$B13,1,0),IF(predictwithfallbackConfidences!$F13=Sheet1!A$2,1,0))</f>
        <v>0</v>
      </c>
      <c r="R13" t="b">
        <f>AND(IF(predictwithfallbackConfidences!$F13=predictwithfallbackConfidences!$B13,1,0),IF(predictwithfallbackConfidences!$F13=Sheet1!B$2,1,0))</f>
        <v>0</v>
      </c>
      <c r="S13" t="b">
        <f>AND(IF(predictwithfallbackConfidences!$F13=predictwithfallbackConfidences!$B13,1,0),IF(predictwithfallbackConfidences!$F13=Sheet1!C$2,1,0))</f>
        <v>1</v>
      </c>
      <c r="T13" t="b">
        <f>AND(IF(predictwithfallbackConfidences!$F13=predictwithfallbackConfidences!$B13,1,0),IF(predictwithfallbackConfidences!$F13=Sheet1!D$2,1,0))</f>
        <v>0</v>
      </c>
      <c r="V13" t="b">
        <f>AND(IF(predictwithfallbackConfidences!$F13=predictwithfallbackConfidences!$B13,0,1),IF(predictwithfallbackConfidences!$F13=Sheet1!A$2,1,0))</f>
        <v>0</v>
      </c>
      <c r="W13" t="b">
        <f>AND(IF(predictwithfallbackConfidences!$F13=predictwithfallbackConfidences!$B13,0,1),IF(predictwithfallbackConfidences!$F13=Sheet1!B$2,1,0))</f>
        <v>0</v>
      </c>
      <c r="X13" t="b">
        <f>AND(IF(predictwithfallbackConfidences!$F13=predictwithfallbackConfidences!$B13,0,1),IF(predictwithfallbackConfidences!$F13=Sheet1!C$2,1,0))</f>
        <v>0</v>
      </c>
      <c r="Y13" t="b">
        <f>AND(IF(predictwithfallbackConfidences!$F13=predictwithfallbackConfidences!$B13,0,1),IF(predictwithfallbackConfidences!$F13=Sheet1!D$2,1,0))</f>
        <v>0</v>
      </c>
      <c r="AA13" t="b">
        <f>AND(IF(predictwithfallbackConfidences!$F13=predictwithfallbackConfidences!$B13,0,1),IF(predictwithfallbackConfidences!$B13=Sheet1!A$2,1,0))</f>
        <v>0</v>
      </c>
      <c r="AB13" t="b">
        <f>AND(IF(predictwithfallbackConfidences!$F13=predictwithfallbackConfidences!$B13,0,1),IF(predictwithfallbackConfidences!$B13=Sheet1!B$2,1,0))</f>
        <v>0</v>
      </c>
      <c r="AC13" t="b">
        <f>AND(IF(predictwithfallbackConfidences!$F13=predictwithfallbackConfidences!$B13,0,1),IF(predictwithfallbackConfidences!$B13=Sheet1!C$2,1,0))</f>
        <v>0</v>
      </c>
      <c r="AD13" t="b">
        <f>AND(IF(predictwithfallbackConfidences!$F13=predictwithfallbackConfidences!$B13,0,1),IF(predictwithfallbackConfidences!$B13=Sheet1!D$2,1,0))</f>
        <v>0</v>
      </c>
      <c r="AF13" t="s">
        <v>87</v>
      </c>
      <c r="AG13">
        <v>3</v>
      </c>
      <c r="AH13">
        <v>9</v>
      </c>
      <c r="AI13">
        <v>9</v>
      </c>
      <c r="AJ13">
        <v>4</v>
      </c>
    </row>
    <row r="14" spans="1:36" x14ac:dyDescent="0.25">
      <c r="A14" t="b">
        <f>AND(IF(predictwithfallbackConfidences!$E14=predictwithfallbackConfidences!$B14,1,0),IF(predictwithfallbackConfidences!$E14=Sheet1!A$2,1,0))</f>
        <v>0</v>
      </c>
      <c r="B14" t="b">
        <f>AND(IF(predictwithfallbackConfidences!$E14=predictwithfallbackConfidences!$B14,1,0),IF(predictwithfallbackConfidences!$E14=Sheet1!B$2,1,0))</f>
        <v>0</v>
      </c>
      <c r="C14" t="b">
        <f>AND(IF(predictwithfallbackConfidences!$E14=predictwithfallbackConfidences!$B14,1,0),IF(predictwithfallbackConfidences!$E14=Sheet1!C$2,1,0))</f>
        <v>1</v>
      </c>
      <c r="D14" t="b">
        <f>AND(IF(predictwithfallbackConfidences!$E14=predictwithfallbackConfidences!$B14,1,0),IF(predictwithfallbackConfidences!$E14=Sheet1!D$2,1,0))</f>
        <v>0</v>
      </c>
      <c r="F14" t="b">
        <f>AND(IF(predictwithfallbackConfidences!$E14=predictwithfallbackConfidences!$B14,0,1),IF(predictwithfallbackConfidences!$E14=Sheet1!A$2,1,0))</f>
        <v>0</v>
      </c>
      <c r="G14" t="b">
        <f>AND(IF(predictwithfallbackConfidences!$E14=predictwithfallbackConfidences!$B14,0,1),IF(predictwithfallbackConfidences!$E14=Sheet1!B$2,1,0))</f>
        <v>0</v>
      </c>
      <c r="H14" t="b">
        <f>AND(IF(predictwithfallbackConfidences!$E14=predictwithfallbackConfidences!$B14,0,1),IF(predictwithfallbackConfidences!$E14=Sheet1!C$2,1,0))</f>
        <v>0</v>
      </c>
      <c r="I14" t="b">
        <f>AND(IF(predictwithfallbackConfidences!$E14=predictwithfallbackConfidences!$B14,0,1),IF(predictwithfallbackConfidences!$E14=Sheet1!D$2,1,0))</f>
        <v>0</v>
      </c>
      <c r="K14" t="b">
        <f>AND(IF(predictwithfallbackConfidences!$E14=predictwithfallbackConfidences!$B14,0,1),IF(predictwithfallbackConfidences!$B14=Sheet1!A$2,1,0))</f>
        <v>0</v>
      </c>
      <c r="L14" t="b">
        <f>AND(IF(predictwithfallbackConfidences!$E14=predictwithfallbackConfidences!$B14,0,1),IF(predictwithfallbackConfidences!$B14=Sheet1!B$2,1,0))</f>
        <v>0</v>
      </c>
      <c r="M14" t="b">
        <f>AND(IF(predictwithfallbackConfidences!$E14=predictwithfallbackConfidences!$B14,0,1),IF(predictwithfallbackConfidences!$B14=Sheet1!C$2,1,0))</f>
        <v>0</v>
      </c>
      <c r="N14" t="b">
        <f>AND(IF(predictwithfallbackConfidences!$E14=predictwithfallbackConfidences!$B14,0,1),IF(predictwithfallbackConfidences!$B14=Sheet1!D$2,1,0))</f>
        <v>0</v>
      </c>
      <c r="Q14" t="b">
        <f>AND(IF(predictwithfallbackConfidences!$F14=predictwithfallbackConfidences!$B14,1,0),IF(predictwithfallbackConfidences!$F14=Sheet1!A$2,1,0))</f>
        <v>0</v>
      </c>
      <c r="R14" t="b">
        <f>AND(IF(predictwithfallbackConfidences!$F14=predictwithfallbackConfidences!$B14,1,0),IF(predictwithfallbackConfidences!$F14=Sheet1!B$2,1,0))</f>
        <v>0</v>
      </c>
      <c r="S14" t="b">
        <f>AND(IF(predictwithfallbackConfidences!$F14=predictwithfallbackConfidences!$B14,1,0),IF(predictwithfallbackConfidences!$F14=Sheet1!C$2,1,0))</f>
        <v>1</v>
      </c>
      <c r="T14" t="b">
        <f>AND(IF(predictwithfallbackConfidences!$F14=predictwithfallbackConfidences!$B14,1,0),IF(predictwithfallbackConfidences!$F14=Sheet1!D$2,1,0))</f>
        <v>0</v>
      </c>
      <c r="V14" t="b">
        <f>AND(IF(predictwithfallbackConfidences!$F14=predictwithfallbackConfidences!$B14,0,1),IF(predictwithfallbackConfidences!$F14=Sheet1!A$2,1,0))</f>
        <v>0</v>
      </c>
      <c r="W14" t="b">
        <f>AND(IF(predictwithfallbackConfidences!$F14=predictwithfallbackConfidences!$B14,0,1),IF(predictwithfallbackConfidences!$F14=Sheet1!B$2,1,0))</f>
        <v>0</v>
      </c>
      <c r="X14" t="b">
        <f>AND(IF(predictwithfallbackConfidences!$F14=predictwithfallbackConfidences!$B14,0,1),IF(predictwithfallbackConfidences!$F14=Sheet1!C$2,1,0))</f>
        <v>0</v>
      </c>
      <c r="Y14" t="b">
        <f>AND(IF(predictwithfallbackConfidences!$F14=predictwithfallbackConfidences!$B14,0,1),IF(predictwithfallbackConfidences!$F14=Sheet1!D$2,1,0))</f>
        <v>0</v>
      </c>
      <c r="AA14" t="b">
        <f>AND(IF(predictwithfallbackConfidences!$F14=predictwithfallbackConfidences!$B14,0,1),IF(predictwithfallbackConfidences!$B14=Sheet1!A$2,1,0))</f>
        <v>0</v>
      </c>
      <c r="AB14" t="b">
        <f>AND(IF(predictwithfallbackConfidences!$F14=predictwithfallbackConfidences!$B14,0,1),IF(predictwithfallbackConfidences!$B14=Sheet1!B$2,1,0))</f>
        <v>0</v>
      </c>
      <c r="AC14" t="b">
        <f>AND(IF(predictwithfallbackConfidences!$F14=predictwithfallbackConfidences!$B14,0,1),IF(predictwithfallbackConfidences!$B14=Sheet1!C$2,1,0))</f>
        <v>0</v>
      </c>
      <c r="AD14" t="b">
        <f>AND(IF(predictwithfallbackConfidences!$F14=predictwithfallbackConfidences!$B14,0,1),IF(predictwithfallbackConfidences!$B14=Sheet1!D$2,1,0))</f>
        <v>0</v>
      </c>
      <c r="AF14" t="s">
        <v>88</v>
      </c>
      <c r="AG14">
        <v>11</v>
      </c>
      <c r="AH14">
        <v>9</v>
      </c>
      <c r="AI14">
        <v>4</v>
      </c>
      <c r="AJ14">
        <v>1</v>
      </c>
    </row>
    <row r="15" spans="1:36" x14ac:dyDescent="0.25">
      <c r="A15" t="b">
        <f>AND(IF(predictwithfallbackConfidences!$E15=predictwithfallbackConfidences!$B15,1,0),IF(predictwithfallbackConfidences!$E15=Sheet1!A$2,1,0))</f>
        <v>0</v>
      </c>
      <c r="B15" t="b">
        <f>AND(IF(predictwithfallbackConfidences!$E15=predictwithfallbackConfidences!$B15,1,0),IF(predictwithfallbackConfidences!$E15=Sheet1!B$2,1,0))</f>
        <v>0</v>
      </c>
      <c r="C15" t="b">
        <f>AND(IF(predictwithfallbackConfidences!$E15=predictwithfallbackConfidences!$B15,1,0),IF(predictwithfallbackConfidences!$E15=Sheet1!C$2,1,0))</f>
        <v>1</v>
      </c>
      <c r="D15" t="b">
        <f>AND(IF(predictwithfallbackConfidences!$E15=predictwithfallbackConfidences!$B15,1,0),IF(predictwithfallbackConfidences!$E15=Sheet1!D$2,1,0))</f>
        <v>0</v>
      </c>
      <c r="F15" t="b">
        <f>AND(IF(predictwithfallbackConfidences!$E15=predictwithfallbackConfidences!$B15,0,1),IF(predictwithfallbackConfidences!$E15=Sheet1!A$2,1,0))</f>
        <v>0</v>
      </c>
      <c r="G15" t="b">
        <f>AND(IF(predictwithfallbackConfidences!$E15=predictwithfallbackConfidences!$B15,0,1),IF(predictwithfallbackConfidences!$E15=Sheet1!B$2,1,0))</f>
        <v>0</v>
      </c>
      <c r="H15" t="b">
        <f>AND(IF(predictwithfallbackConfidences!$E15=predictwithfallbackConfidences!$B15,0,1),IF(predictwithfallbackConfidences!$E15=Sheet1!C$2,1,0))</f>
        <v>0</v>
      </c>
      <c r="I15" t="b">
        <f>AND(IF(predictwithfallbackConfidences!$E15=predictwithfallbackConfidences!$B15,0,1),IF(predictwithfallbackConfidences!$E15=Sheet1!D$2,1,0))</f>
        <v>0</v>
      </c>
      <c r="K15" t="b">
        <f>AND(IF(predictwithfallbackConfidences!$E15=predictwithfallbackConfidences!$B15,0,1),IF(predictwithfallbackConfidences!$B15=Sheet1!A$2,1,0))</f>
        <v>0</v>
      </c>
      <c r="L15" t="b">
        <f>AND(IF(predictwithfallbackConfidences!$E15=predictwithfallbackConfidences!$B15,0,1),IF(predictwithfallbackConfidences!$B15=Sheet1!B$2,1,0))</f>
        <v>0</v>
      </c>
      <c r="M15" t="b">
        <f>AND(IF(predictwithfallbackConfidences!$E15=predictwithfallbackConfidences!$B15,0,1),IF(predictwithfallbackConfidences!$B15=Sheet1!C$2,1,0))</f>
        <v>0</v>
      </c>
      <c r="N15" t="b">
        <f>AND(IF(predictwithfallbackConfidences!$E15=predictwithfallbackConfidences!$B15,0,1),IF(predictwithfallbackConfidences!$B15=Sheet1!D$2,1,0))</f>
        <v>0</v>
      </c>
      <c r="Q15" t="b">
        <f>AND(IF(predictwithfallbackConfidences!$F15=predictwithfallbackConfidences!$B15,1,0),IF(predictwithfallbackConfidences!$F15=Sheet1!A$2,1,0))</f>
        <v>0</v>
      </c>
      <c r="R15" t="b">
        <f>AND(IF(predictwithfallbackConfidences!$F15=predictwithfallbackConfidences!$B15,1,0),IF(predictwithfallbackConfidences!$F15=Sheet1!B$2,1,0))</f>
        <v>0</v>
      </c>
      <c r="S15" t="b">
        <f>AND(IF(predictwithfallbackConfidences!$F15=predictwithfallbackConfidences!$B15,1,0),IF(predictwithfallbackConfidences!$F15=Sheet1!C$2,1,0))</f>
        <v>1</v>
      </c>
      <c r="T15" t="b">
        <f>AND(IF(predictwithfallbackConfidences!$F15=predictwithfallbackConfidences!$B15,1,0),IF(predictwithfallbackConfidences!$F15=Sheet1!D$2,1,0))</f>
        <v>0</v>
      </c>
      <c r="V15" t="b">
        <f>AND(IF(predictwithfallbackConfidences!$F15=predictwithfallbackConfidences!$B15,0,1),IF(predictwithfallbackConfidences!$F15=Sheet1!A$2,1,0))</f>
        <v>0</v>
      </c>
      <c r="W15" t="b">
        <f>AND(IF(predictwithfallbackConfidences!$F15=predictwithfallbackConfidences!$B15,0,1),IF(predictwithfallbackConfidences!$F15=Sheet1!B$2,1,0))</f>
        <v>0</v>
      </c>
      <c r="X15" t="b">
        <f>AND(IF(predictwithfallbackConfidences!$F15=predictwithfallbackConfidences!$B15,0,1),IF(predictwithfallbackConfidences!$F15=Sheet1!C$2,1,0))</f>
        <v>0</v>
      </c>
      <c r="Y15" t="b">
        <f>AND(IF(predictwithfallbackConfidences!$F15=predictwithfallbackConfidences!$B15,0,1),IF(predictwithfallbackConfidences!$F15=Sheet1!D$2,1,0))</f>
        <v>0</v>
      </c>
      <c r="AA15" t="b">
        <f>AND(IF(predictwithfallbackConfidences!$F15=predictwithfallbackConfidences!$B15,0,1),IF(predictwithfallbackConfidences!$B15=Sheet1!A$2,1,0))</f>
        <v>0</v>
      </c>
      <c r="AB15" t="b">
        <f>AND(IF(predictwithfallbackConfidences!$F15=predictwithfallbackConfidences!$B15,0,1),IF(predictwithfallbackConfidences!$B15=Sheet1!B$2,1,0))</f>
        <v>0</v>
      </c>
      <c r="AC15" t="b">
        <f>AND(IF(predictwithfallbackConfidences!$F15=predictwithfallbackConfidences!$B15,0,1),IF(predictwithfallbackConfidences!$B15=Sheet1!C$2,1,0))</f>
        <v>0</v>
      </c>
      <c r="AD15" t="b">
        <f>AND(IF(predictwithfallbackConfidences!$F15=predictwithfallbackConfidences!$B15,0,1),IF(predictwithfallbackConfidences!$B15=Sheet1!D$2,1,0))</f>
        <v>0</v>
      </c>
      <c r="AF15" t="s">
        <v>107</v>
      </c>
      <c r="AG15">
        <f>SUM(AG12:AG13)</f>
        <v>7</v>
      </c>
      <c r="AH15">
        <f t="shared" ref="AH15:AJ15" si="1">SUM(AH12:AH13)</f>
        <v>15</v>
      </c>
      <c r="AI15">
        <f t="shared" si="1"/>
        <v>20</v>
      </c>
      <c r="AJ15">
        <f t="shared" si="1"/>
        <v>18</v>
      </c>
    </row>
    <row r="16" spans="1:36" x14ac:dyDescent="0.25">
      <c r="A16" t="b">
        <f>AND(IF(predictwithfallbackConfidences!$E16=predictwithfallbackConfidences!$B16,1,0),IF(predictwithfallbackConfidences!$E16=Sheet1!A$2,1,0))</f>
        <v>0</v>
      </c>
      <c r="B16" t="b">
        <f>AND(IF(predictwithfallbackConfidences!$E16=predictwithfallbackConfidences!$B16,1,0),IF(predictwithfallbackConfidences!$E16=Sheet1!B$2,1,0))</f>
        <v>0</v>
      </c>
      <c r="C16" t="b">
        <f>AND(IF(predictwithfallbackConfidences!$E16=predictwithfallbackConfidences!$B16,1,0),IF(predictwithfallbackConfidences!$E16=Sheet1!C$2,1,0))</f>
        <v>0</v>
      </c>
      <c r="D16" t="b">
        <f>AND(IF(predictwithfallbackConfidences!$E16=predictwithfallbackConfidences!$B16,1,0),IF(predictwithfallbackConfidences!$E16=Sheet1!D$2,1,0))</f>
        <v>0</v>
      </c>
      <c r="F16" t="b">
        <f>AND(IF(predictwithfallbackConfidences!$E16=predictwithfallbackConfidences!$B16,0,1),IF(predictwithfallbackConfidences!$E16=Sheet1!A$2,1,0))</f>
        <v>1</v>
      </c>
      <c r="G16" t="b">
        <f>AND(IF(predictwithfallbackConfidences!$E16=predictwithfallbackConfidences!$B16,0,1),IF(predictwithfallbackConfidences!$E16=Sheet1!B$2,1,0))</f>
        <v>0</v>
      </c>
      <c r="H16" t="b">
        <f>AND(IF(predictwithfallbackConfidences!$E16=predictwithfallbackConfidences!$B16,0,1),IF(predictwithfallbackConfidences!$E16=Sheet1!C$2,1,0))</f>
        <v>0</v>
      </c>
      <c r="I16" t="b">
        <f>AND(IF(predictwithfallbackConfidences!$E16=predictwithfallbackConfidences!$B16,0,1),IF(predictwithfallbackConfidences!$E16=Sheet1!D$2,1,0))</f>
        <v>0</v>
      </c>
      <c r="K16" t="b">
        <f>AND(IF(predictwithfallbackConfidences!$E16=predictwithfallbackConfidences!$B16,0,1),IF(predictwithfallbackConfidences!$B16=Sheet1!A$2,1,0))</f>
        <v>0</v>
      </c>
      <c r="L16" t="b">
        <f>AND(IF(predictwithfallbackConfidences!$E16=predictwithfallbackConfidences!$B16,0,1),IF(predictwithfallbackConfidences!$B16=Sheet1!B$2,1,0))</f>
        <v>0</v>
      </c>
      <c r="M16" t="b">
        <f>AND(IF(predictwithfallbackConfidences!$E16=predictwithfallbackConfidences!$B16,0,1),IF(predictwithfallbackConfidences!$B16=Sheet1!C$2,1,0))</f>
        <v>1</v>
      </c>
      <c r="N16" t="b">
        <f>AND(IF(predictwithfallbackConfidences!$E16=predictwithfallbackConfidences!$B16,0,1),IF(predictwithfallbackConfidences!$B16=Sheet1!D$2,1,0))</f>
        <v>0</v>
      </c>
      <c r="Q16" t="b">
        <f>AND(IF(predictwithfallbackConfidences!$F16=predictwithfallbackConfidences!$B16,1,0),IF(predictwithfallbackConfidences!$F16=Sheet1!A$2,1,0))</f>
        <v>0</v>
      </c>
      <c r="R16" t="b">
        <f>AND(IF(predictwithfallbackConfidences!$F16=predictwithfallbackConfidences!$B16,1,0),IF(predictwithfallbackConfidences!$F16=Sheet1!B$2,1,0))</f>
        <v>0</v>
      </c>
      <c r="S16" t="b">
        <f>AND(IF(predictwithfallbackConfidences!$F16=predictwithfallbackConfidences!$B16,1,0),IF(predictwithfallbackConfidences!$F16=Sheet1!C$2,1,0))</f>
        <v>0</v>
      </c>
      <c r="T16" t="b">
        <f>AND(IF(predictwithfallbackConfidences!$F16=predictwithfallbackConfidences!$B16,1,0),IF(predictwithfallbackConfidences!$F16=Sheet1!D$2,1,0))</f>
        <v>0</v>
      </c>
      <c r="V16" t="b">
        <f>AND(IF(predictwithfallbackConfidences!$F16=predictwithfallbackConfidences!$B16,0,1),IF(predictwithfallbackConfidences!$F16=Sheet1!A$2,1,0))</f>
        <v>0</v>
      </c>
      <c r="W16" t="b">
        <f>AND(IF(predictwithfallbackConfidences!$F16=predictwithfallbackConfidences!$B16,0,1),IF(predictwithfallbackConfidences!$F16=Sheet1!B$2,1,0))</f>
        <v>1</v>
      </c>
      <c r="X16" t="b">
        <f>AND(IF(predictwithfallbackConfidences!$F16=predictwithfallbackConfidences!$B16,0,1),IF(predictwithfallbackConfidences!$F16=Sheet1!C$2,1,0))</f>
        <v>0</v>
      </c>
      <c r="Y16" t="b">
        <f>AND(IF(predictwithfallbackConfidences!$F16=predictwithfallbackConfidences!$B16,0,1),IF(predictwithfallbackConfidences!$F16=Sheet1!D$2,1,0))</f>
        <v>0</v>
      </c>
      <c r="AA16" t="b">
        <f>AND(IF(predictwithfallbackConfidences!$F16=predictwithfallbackConfidences!$B16,0,1),IF(predictwithfallbackConfidences!$B16=Sheet1!A$2,1,0))</f>
        <v>0</v>
      </c>
      <c r="AB16" t="b">
        <f>AND(IF(predictwithfallbackConfidences!$F16=predictwithfallbackConfidences!$B16,0,1),IF(predictwithfallbackConfidences!$B16=Sheet1!B$2,1,0))</f>
        <v>0</v>
      </c>
      <c r="AC16" t="b">
        <f>AND(IF(predictwithfallbackConfidences!$F16=predictwithfallbackConfidences!$B16,0,1),IF(predictwithfallbackConfidences!$B16=Sheet1!C$2,1,0))</f>
        <v>1</v>
      </c>
      <c r="AD16" t="b">
        <f>AND(IF(predictwithfallbackConfidences!$F16=predictwithfallbackConfidences!$B16,0,1),IF(predictwithfallbackConfidences!$B16=Sheet1!D$2,1,0))</f>
        <v>0</v>
      </c>
    </row>
    <row r="17" spans="1:30" x14ac:dyDescent="0.25">
      <c r="A17" t="b">
        <f>AND(IF(predictwithfallbackConfidences!$E17=predictwithfallbackConfidences!$B17,1,0),IF(predictwithfallbackConfidences!$E17=Sheet1!A$2,1,0))</f>
        <v>0</v>
      </c>
      <c r="B17" t="b">
        <f>AND(IF(predictwithfallbackConfidences!$E17=predictwithfallbackConfidences!$B17,1,0),IF(predictwithfallbackConfidences!$E17=Sheet1!B$2,1,0))</f>
        <v>0</v>
      </c>
      <c r="C17" t="b">
        <f>AND(IF(predictwithfallbackConfidences!$E17=predictwithfallbackConfidences!$B17,1,0),IF(predictwithfallbackConfidences!$E17=Sheet1!C$2,1,0))</f>
        <v>0</v>
      </c>
      <c r="D17" t="b">
        <f>AND(IF(predictwithfallbackConfidences!$E17=predictwithfallbackConfidences!$B17,1,0),IF(predictwithfallbackConfidences!$E17=Sheet1!D$2,1,0))</f>
        <v>0</v>
      </c>
      <c r="F17" t="b">
        <f>AND(IF(predictwithfallbackConfidences!$E17=predictwithfallbackConfidences!$B17,0,1),IF(predictwithfallbackConfidences!$E17=Sheet1!A$2,1,0))</f>
        <v>0</v>
      </c>
      <c r="G17" t="b">
        <f>AND(IF(predictwithfallbackConfidences!$E17=predictwithfallbackConfidences!$B17,0,1),IF(predictwithfallbackConfidences!$E17=Sheet1!B$2,1,0))</f>
        <v>1</v>
      </c>
      <c r="H17" t="b">
        <f>AND(IF(predictwithfallbackConfidences!$E17=predictwithfallbackConfidences!$B17,0,1),IF(predictwithfallbackConfidences!$E17=Sheet1!C$2,1,0))</f>
        <v>0</v>
      </c>
      <c r="I17" t="b">
        <f>AND(IF(predictwithfallbackConfidences!$E17=predictwithfallbackConfidences!$B17,0,1),IF(predictwithfallbackConfidences!$E17=Sheet1!D$2,1,0))</f>
        <v>0</v>
      </c>
      <c r="K17" t="b">
        <f>AND(IF(predictwithfallbackConfidences!$E17=predictwithfallbackConfidences!$B17,0,1),IF(predictwithfallbackConfidences!$B17=Sheet1!A$2,1,0))</f>
        <v>0</v>
      </c>
      <c r="L17" t="b">
        <f>AND(IF(predictwithfallbackConfidences!$E17=predictwithfallbackConfidences!$B17,0,1),IF(predictwithfallbackConfidences!$B17=Sheet1!B$2,1,0))</f>
        <v>0</v>
      </c>
      <c r="M17" t="b">
        <f>AND(IF(predictwithfallbackConfidences!$E17=predictwithfallbackConfidences!$B17,0,1),IF(predictwithfallbackConfidences!$B17=Sheet1!C$2,1,0))</f>
        <v>1</v>
      </c>
      <c r="N17" t="b">
        <f>AND(IF(predictwithfallbackConfidences!$E17=predictwithfallbackConfidences!$B17,0,1),IF(predictwithfallbackConfidences!$B17=Sheet1!D$2,1,0))</f>
        <v>0</v>
      </c>
      <c r="Q17" t="b">
        <f>AND(IF(predictwithfallbackConfidences!$F17=predictwithfallbackConfidences!$B17,1,0),IF(predictwithfallbackConfidences!$F17=Sheet1!A$2,1,0))</f>
        <v>0</v>
      </c>
      <c r="R17" t="b">
        <f>AND(IF(predictwithfallbackConfidences!$F17=predictwithfallbackConfidences!$B17,1,0),IF(predictwithfallbackConfidences!$F17=Sheet1!B$2,1,0))</f>
        <v>0</v>
      </c>
      <c r="S17" t="b">
        <f>AND(IF(predictwithfallbackConfidences!$F17=predictwithfallbackConfidences!$B17,1,0),IF(predictwithfallbackConfidences!$F17=Sheet1!C$2,1,0))</f>
        <v>0</v>
      </c>
      <c r="T17" t="b">
        <f>AND(IF(predictwithfallbackConfidences!$F17=predictwithfallbackConfidences!$B17,1,0),IF(predictwithfallbackConfidences!$F17=Sheet1!D$2,1,0))</f>
        <v>0</v>
      </c>
      <c r="V17" t="b">
        <f>AND(IF(predictwithfallbackConfidences!$F17=predictwithfallbackConfidences!$B17,0,1),IF(predictwithfallbackConfidences!$F17=Sheet1!A$2,1,0))</f>
        <v>0</v>
      </c>
      <c r="W17" t="b">
        <f>AND(IF(predictwithfallbackConfidences!$F17=predictwithfallbackConfidences!$B17,0,1),IF(predictwithfallbackConfidences!$F17=Sheet1!B$2,1,0))</f>
        <v>1</v>
      </c>
      <c r="X17" t="b">
        <f>AND(IF(predictwithfallbackConfidences!$F17=predictwithfallbackConfidences!$B17,0,1),IF(predictwithfallbackConfidences!$F17=Sheet1!C$2,1,0))</f>
        <v>0</v>
      </c>
      <c r="Y17" t="b">
        <f>AND(IF(predictwithfallbackConfidences!$F17=predictwithfallbackConfidences!$B17,0,1),IF(predictwithfallbackConfidences!$F17=Sheet1!D$2,1,0))</f>
        <v>0</v>
      </c>
      <c r="AA17" t="b">
        <f>AND(IF(predictwithfallbackConfidences!$F17=predictwithfallbackConfidences!$B17,0,1),IF(predictwithfallbackConfidences!$B17=Sheet1!A$2,1,0))</f>
        <v>0</v>
      </c>
      <c r="AB17" t="b">
        <f>AND(IF(predictwithfallbackConfidences!$F17=predictwithfallbackConfidences!$B17,0,1),IF(predictwithfallbackConfidences!$B17=Sheet1!B$2,1,0))</f>
        <v>0</v>
      </c>
      <c r="AC17" t="b">
        <f>AND(IF(predictwithfallbackConfidences!$F17=predictwithfallbackConfidences!$B17,0,1),IF(predictwithfallbackConfidences!$B17=Sheet1!C$2,1,0))</f>
        <v>1</v>
      </c>
      <c r="AD17" t="b">
        <f>AND(IF(predictwithfallbackConfidences!$F17=predictwithfallbackConfidences!$B17,0,1),IF(predictwithfallbackConfidences!$B17=Sheet1!D$2,1,0))</f>
        <v>0</v>
      </c>
    </row>
    <row r="18" spans="1:30" x14ac:dyDescent="0.25">
      <c r="A18" t="b">
        <f>AND(IF(predictwithfallbackConfidences!$E18=predictwithfallbackConfidences!$B18,1,0),IF(predictwithfallbackConfidences!$E18=Sheet1!A$2,1,0))</f>
        <v>0</v>
      </c>
      <c r="B18" t="b">
        <f>AND(IF(predictwithfallbackConfidences!$E18=predictwithfallbackConfidences!$B18,1,0),IF(predictwithfallbackConfidences!$E18=Sheet1!B$2,1,0))</f>
        <v>0</v>
      </c>
      <c r="C18" t="b">
        <f>AND(IF(predictwithfallbackConfidences!$E18=predictwithfallbackConfidences!$B18,1,0),IF(predictwithfallbackConfidences!$E18=Sheet1!C$2,1,0))</f>
        <v>1</v>
      </c>
      <c r="D18" t="b">
        <f>AND(IF(predictwithfallbackConfidences!$E18=predictwithfallbackConfidences!$B18,1,0),IF(predictwithfallbackConfidences!$E18=Sheet1!D$2,1,0))</f>
        <v>0</v>
      </c>
      <c r="F18" t="b">
        <f>AND(IF(predictwithfallbackConfidences!$E18=predictwithfallbackConfidences!$B18,0,1),IF(predictwithfallbackConfidences!$E18=Sheet1!A$2,1,0))</f>
        <v>0</v>
      </c>
      <c r="G18" t="b">
        <f>AND(IF(predictwithfallbackConfidences!$E18=predictwithfallbackConfidences!$B18,0,1),IF(predictwithfallbackConfidences!$E18=Sheet1!B$2,1,0))</f>
        <v>0</v>
      </c>
      <c r="H18" t="b">
        <f>AND(IF(predictwithfallbackConfidences!$E18=predictwithfallbackConfidences!$B18,0,1),IF(predictwithfallbackConfidences!$E18=Sheet1!C$2,1,0))</f>
        <v>0</v>
      </c>
      <c r="I18" t="b">
        <f>AND(IF(predictwithfallbackConfidences!$E18=predictwithfallbackConfidences!$B18,0,1),IF(predictwithfallbackConfidences!$E18=Sheet1!D$2,1,0))</f>
        <v>0</v>
      </c>
      <c r="K18" t="b">
        <f>AND(IF(predictwithfallbackConfidences!$E18=predictwithfallbackConfidences!$B18,0,1),IF(predictwithfallbackConfidences!$B18=Sheet1!A$2,1,0))</f>
        <v>0</v>
      </c>
      <c r="L18" t="b">
        <f>AND(IF(predictwithfallbackConfidences!$E18=predictwithfallbackConfidences!$B18,0,1),IF(predictwithfallbackConfidences!$B18=Sheet1!B$2,1,0))</f>
        <v>0</v>
      </c>
      <c r="M18" t="b">
        <f>AND(IF(predictwithfallbackConfidences!$E18=predictwithfallbackConfidences!$B18,0,1),IF(predictwithfallbackConfidences!$B18=Sheet1!C$2,1,0))</f>
        <v>0</v>
      </c>
      <c r="N18" t="b">
        <f>AND(IF(predictwithfallbackConfidences!$E18=predictwithfallbackConfidences!$B18,0,1),IF(predictwithfallbackConfidences!$B18=Sheet1!D$2,1,0))</f>
        <v>0</v>
      </c>
      <c r="Q18" t="b">
        <f>AND(IF(predictwithfallbackConfidences!$F18=predictwithfallbackConfidences!$B18,1,0),IF(predictwithfallbackConfidences!$F18=Sheet1!A$2,1,0))</f>
        <v>0</v>
      </c>
      <c r="R18" t="b">
        <f>AND(IF(predictwithfallbackConfidences!$F18=predictwithfallbackConfidences!$B18,1,0),IF(predictwithfallbackConfidences!$F18=Sheet1!B$2,1,0))</f>
        <v>0</v>
      </c>
      <c r="S18" t="b">
        <f>AND(IF(predictwithfallbackConfidences!$F18=predictwithfallbackConfidences!$B18,1,0),IF(predictwithfallbackConfidences!$F18=Sheet1!C$2,1,0))</f>
        <v>1</v>
      </c>
      <c r="T18" t="b">
        <f>AND(IF(predictwithfallbackConfidences!$F18=predictwithfallbackConfidences!$B18,1,0),IF(predictwithfallbackConfidences!$F18=Sheet1!D$2,1,0))</f>
        <v>0</v>
      </c>
      <c r="V18" t="b">
        <f>AND(IF(predictwithfallbackConfidences!$F18=predictwithfallbackConfidences!$B18,0,1),IF(predictwithfallbackConfidences!$F18=Sheet1!A$2,1,0))</f>
        <v>0</v>
      </c>
      <c r="W18" t="b">
        <f>AND(IF(predictwithfallbackConfidences!$F18=predictwithfallbackConfidences!$B18,0,1),IF(predictwithfallbackConfidences!$F18=Sheet1!B$2,1,0))</f>
        <v>0</v>
      </c>
      <c r="X18" t="b">
        <f>AND(IF(predictwithfallbackConfidences!$F18=predictwithfallbackConfidences!$B18,0,1),IF(predictwithfallbackConfidences!$F18=Sheet1!C$2,1,0))</f>
        <v>0</v>
      </c>
      <c r="Y18" t="b">
        <f>AND(IF(predictwithfallbackConfidences!$F18=predictwithfallbackConfidences!$B18,0,1),IF(predictwithfallbackConfidences!$F18=Sheet1!D$2,1,0))</f>
        <v>0</v>
      </c>
      <c r="AA18" t="b">
        <f>AND(IF(predictwithfallbackConfidences!$F18=predictwithfallbackConfidences!$B18,0,1),IF(predictwithfallbackConfidences!$B18=Sheet1!A$2,1,0))</f>
        <v>0</v>
      </c>
      <c r="AB18" t="b">
        <f>AND(IF(predictwithfallbackConfidences!$F18=predictwithfallbackConfidences!$B18,0,1),IF(predictwithfallbackConfidences!$B18=Sheet1!B$2,1,0))</f>
        <v>0</v>
      </c>
      <c r="AC18" t="b">
        <f>AND(IF(predictwithfallbackConfidences!$F18=predictwithfallbackConfidences!$B18,0,1),IF(predictwithfallbackConfidences!$B18=Sheet1!C$2,1,0))</f>
        <v>0</v>
      </c>
      <c r="AD18" t="b">
        <f>AND(IF(predictwithfallbackConfidences!$F18=predictwithfallbackConfidences!$B18,0,1),IF(predictwithfallbackConfidences!$B18=Sheet1!D$2,1,0))</f>
        <v>0</v>
      </c>
    </row>
    <row r="19" spans="1:30" x14ac:dyDescent="0.25">
      <c r="A19" t="b">
        <f>AND(IF(predictwithfallbackConfidences!$E19=predictwithfallbackConfidences!$B19,1,0),IF(predictwithfallbackConfidences!$E19=Sheet1!A$2,1,0))</f>
        <v>0</v>
      </c>
      <c r="B19" t="b">
        <f>AND(IF(predictwithfallbackConfidences!$E19=predictwithfallbackConfidences!$B19,1,0),IF(predictwithfallbackConfidences!$E19=Sheet1!B$2,1,0))</f>
        <v>0</v>
      </c>
      <c r="C19" t="b">
        <f>AND(IF(predictwithfallbackConfidences!$E19=predictwithfallbackConfidences!$B19,1,0),IF(predictwithfallbackConfidences!$E19=Sheet1!C$2,1,0))</f>
        <v>1</v>
      </c>
      <c r="D19" t="b">
        <f>AND(IF(predictwithfallbackConfidences!$E19=predictwithfallbackConfidences!$B19,1,0),IF(predictwithfallbackConfidences!$E19=Sheet1!D$2,1,0))</f>
        <v>0</v>
      </c>
      <c r="F19" t="b">
        <f>AND(IF(predictwithfallbackConfidences!$E19=predictwithfallbackConfidences!$B19,0,1),IF(predictwithfallbackConfidences!$E19=Sheet1!A$2,1,0))</f>
        <v>0</v>
      </c>
      <c r="G19" t="b">
        <f>AND(IF(predictwithfallbackConfidences!$E19=predictwithfallbackConfidences!$B19,0,1),IF(predictwithfallbackConfidences!$E19=Sheet1!B$2,1,0))</f>
        <v>0</v>
      </c>
      <c r="H19" t="b">
        <f>AND(IF(predictwithfallbackConfidences!$E19=predictwithfallbackConfidences!$B19,0,1),IF(predictwithfallbackConfidences!$E19=Sheet1!C$2,1,0))</f>
        <v>0</v>
      </c>
      <c r="I19" t="b">
        <f>AND(IF(predictwithfallbackConfidences!$E19=predictwithfallbackConfidences!$B19,0,1),IF(predictwithfallbackConfidences!$E19=Sheet1!D$2,1,0))</f>
        <v>0</v>
      </c>
      <c r="K19" t="b">
        <f>AND(IF(predictwithfallbackConfidences!$E19=predictwithfallbackConfidences!$B19,0,1),IF(predictwithfallbackConfidences!$B19=Sheet1!A$2,1,0))</f>
        <v>0</v>
      </c>
      <c r="L19" t="b">
        <f>AND(IF(predictwithfallbackConfidences!$E19=predictwithfallbackConfidences!$B19,0,1),IF(predictwithfallbackConfidences!$B19=Sheet1!B$2,1,0))</f>
        <v>0</v>
      </c>
      <c r="M19" t="b">
        <f>AND(IF(predictwithfallbackConfidences!$E19=predictwithfallbackConfidences!$B19,0,1),IF(predictwithfallbackConfidences!$B19=Sheet1!C$2,1,0))</f>
        <v>0</v>
      </c>
      <c r="N19" t="b">
        <f>AND(IF(predictwithfallbackConfidences!$E19=predictwithfallbackConfidences!$B19,0,1),IF(predictwithfallbackConfidences!$B19=Sheet1!D$2,1,0))</f>
        <v>0</v>
      </c>
      <c r="Q19" t="b">
        <f>AND(IF(predictwithfallbackConfidences!$F19=predictwithfallbackConfidences!$B19,1,0),IF(predictwithfallbackConfidences!$F19=Sheet1!A$2,1,0))</f>
        <v>0</v>
      </c>
      <c r="R19" t="b">
        <f>AND(IF(predictwithfallbackConfidences!$F19=predictwithfallbackConfidences!$B19,1,0),IF(predictwithfallbackConfidences!$F19=Sheet1!B$2,1,0))</f>
        <v>0</v>
      </c>
      <c r="S19" t="b">
        <f>AND(IF(predictwithfallbackConfidences!$F19=predictwithfallbackConfidences!$B19,1,0),IF(predictwithfallbackConfidences!$F19=Sheet1!C$2,1,0))</f>
        <v>1</v>
      </c>
      <c r="T19" t="b">
        <f>AND(IF(predictwithfallbackConfidences!$F19=predictwithfallbackConfidences!$B19,1,0),IF(predictwithfallbackConfidences!$F19=Sheet1!D$2,1,0))</f>
        <v>0</v>
      </c>
      <c r="V19" t="b">
        <f>AND(IF(predictwithfallbackConfidences!$F19=predictwithfallbackConfidences!$B19,0,1),IF(predictwithfallbackConfidences!$F19=Sheet1!A$2,1,0))</f>
        <v>0</v>
      </c>
      <c r="W19" t="b">
        <f>AND(IF(predictwithfallbackConfidences!$F19=predictwithfallbackConfidences!$B19,0,1),IF(predictwithfallbackConfidences!$F19=Sheet1!B$2,1,0))</f>
        <v>0</v>
      </c>
      <c r="X19" t="b">
        <f>AND(IF(predictwithfallbackConfidences!$F19=predictwithfallbackConfidences!$B19,0,1),IF(predictwithfallbackConfidences!$F19=Sheet1!C$2,1,0))</f>
        <v>0</v>
      </c>
      <c r="Y19" t="b">
        <f>AND(IF(predictwithfallbackConfidences!$F19=predictwithfallbackConfidences!$B19,0,1),IF(predictwithfallbackConfidences!$F19=Sheet1!D$2,1,0))</f>
        <v>0</v>
      </c>
      <c r="AA19" t="b">
        <f>AND(IF(predictwithfallbackConfidences!$F19=predictwithfallbackConfidences!$B19,0,1),IF(predictwithfallbackConfidences!$B19=Sheet1!A$2,1,0))</f>
        <v>0</v>
      </c>
      <c r="AB19" t="b">
        <f>AND(IF(predictwithfallbackConfidences!$F19=predictwithfallbackConfidences!$B19,0,1),IF(predictwithfallbackConfidences!$B19=Sheet1!B$2,1,0))</f>
        <v>0</v>
      </c>
      <c r="AC19" t="b">
        <f>AND(IF(predictwithfallbackConfidences!$F19=predictwithfallbackConfidences!$B19,0,1),IF(predictwithfallbackConfidences!$B19=Sheet1!C$2,1,0))</f>
        <v>0</v>
      </c>
      <c r="AD19" t="b">
        <f>AND(IF(predictwithfallbackConfidences!$F19=predictwithfallbackConfidences!$B19,0,1),IF(predictwithfallbackConfidences!$B19=Sheet1!D$2,1,0))</f>
        <v>0</v>
      </c>
    </row>
    <row r="20" spans="1:30" x14ac:dyDescent="0.25">
      <c r="A20" t="b">
        <f>AND(IF(predictwithfallbackConfidences!$E20=predictwithfallbackConfidences!$B20,1,0),IF(predictwithfallbackConfidences!$E20=Sheet1!A$2,1,0))</f>
        <v>0</v>
      </c>
      <c r="B20" t="b">
        <f>AND(IF(predictwithfallbackConfidences!$E20=predictwithfallbackConfidences!$B20,1,0),IF(predictwithfallbackConfidences!$E20=Sheet1!B$2,1,0))</f>
        <v>0</v>
      </c>
      <c r="C20" t="b">
        <f>AND(IF(predictwithfallbackConfidences!$E20=predictwithfallbackConfidences!$B20,1,0),IF(predictwithfallbackConfidences!$E20=Sheet1!C$2,1,0))</f>
        <v>1</v>
      </c>
      <c r="D20" t="b">
        <f>AND(IF(predictwithfallbackConfidences!$E20=predictwithfallbackConfidences!$B20,1,0),IF(predictwithfallbackConfidences!$E20=Sheet1!D$2,1,0))</f>
        <v>0</v>
      </c>
      <c r="F20" t="b">
        <f>AND(IF(predictwithfallbackConfidences!$E20=predictwithfallbackConfidences!$B20,0,1),IF(predictwithfallbackConfidences!$E20=Sheet1!A$2,1,0))</f>
        <v>0</v>
      </c>
      <c r="G20" t="b">
        <f>AND(IF(predictwithfallbackConfidences!$E20=predictwithfallbackConfidences!$B20,0,1),IF(predictwithfallbackConfidences!$E20=Sheet1!B$2,1,0))</f>
        <v>0</v>
      </c>
      <c r="H20" t="b">
        <f>AND(IF(predictwithfallbackConfidences!$E20=predictwithfallbackConfidences!$B20,0,1),IF(predictwithfallbackConfidences!$E20=Sheet1!C$2,1,0))</f>
        <v>0</v>
      </c>
      <c r="I20" t="b">
        <f>AND(IF(predictwithfallbackConfidences!$E20=predictwithfallbackConfidences!$B20,0,1),IF(predictwithfallbackConfidences!$E20=Sheet1!D$2,1,0))</f>
        <v>0</v>
      </c>
      <c r="K20" t="b">
        <f>AND(IF(predictwithfallbackConfidences!$E20=predictwithfallbackConfidences!$B20,0,1),IF(predictwithfallbackConfidences!$B20=Sheet1!A$2,1,0))</f>
        <v>0</v>
      </c>
      <c r="L20" t="b">
        <f>AND(IF(predictwithfallbackConfidences!$E20=predictwithfallbackConfidences!$B20,0,1),IF(predictwithfallbackConfidences!$B20=Sheet1!B$2,1,0))</f>
        <v>0</v>
      </c>
      <c r="M20" t="b">
        <f>AND(IF(predictwithfallbackConfidences!$E20=predictwithfallbackConfidences!$B20,0,1),IF(predictwithfallbackConfidences!$B20=Sheet1!C$2,1,0))</f>
        <v>0</v>
      </c>
      <c r="N20" t="b">
        <f>AND(IF(predictwithfallbackConfidences!$E20=predictwithfallbackConfidences!$B20,0,1),IF(predictwithfallbackConfidences!$B20=Sheet1!D$2,1,0))</f>
        <v>0</v>
      </c>
      <c r="Q20" t="b">
        <f>AND(IF(predictwithfallbackConfidences!$F20=predictwithfallbackConfidences!$B20,1,0),IF(predictwithfallbackConfidences!$F20=Sheet1!A$2,1,0))</f>
        <v>0</v>
      </c>
      <c r="R20" t="b">
        <f>AND(IF(predictwithfallbackConfidences!$F20=predictwithfallbackConfidences!$B20,1,0),IF(predictwithfallbackConfidences!$F20=Sheet1!B$2,1,0))</f>
        <v>0</v>
      </c>
      <c r="S20" t="b">
        <f>AND(IF(predictwithfallbackConfidences!$F20=predictwithfallbackConfidences!$B20,1,0),IF(predictwithfallbackConfidences!$F20=Sheet1!C$2,1,0))</f>
        <v>1</v>
      </c>
      <c r="T20" t="b">
        <f>AND(IF(predictwithfallbackConfidences!$F20=predictwithfallbackConfidences!$B20,1,0),IF(predictwithfallbackConfidences!$F20=Sheet1!D$2,1,0))</f>
        <v>0</v>
      </c>
      <c r="V20" t="b">
        <f>AND(IF(predictwithfallbackConfidences!$F20=predictwithfallbackConfidences!$B20,0,1),IF(predictwithfallbackConfidences!$F20=Sheet1!A$2,1,0))</f>
        <v>0</v>
      </c>
      <c r="W20" t="b">
        <f>AND(IF(predictwithfallbackConfidences!$F20=predictwithfallbackConfidences!$B20,0,1),IF(predictwithfallbackConfidences!$F20=Sheet1!B$2,1,0))</f>
        <v>0</v>
      </c>
      <c r="X20" t="b">
        <f>AND(IF(predictwithfallbackConfidences!$F20=predictwithfallbackConfidences!$B20,0,1),IF(predictwithfallbackConfidences!$F20=Sheet1!C$2,1,0))</f>
        <v>0</v>
      </c>
      <c r="Y20" t="b">
        <f>AND(IF(predictwithfallbackConfidences!$F20=predictwithfallbackConfidences!$B20,0,1),IF(predictwithfallbackConfidences!$F20=Sheet1!D$2,1,0))</f>
        <v>0</v>
      </c>
      <c r="AA20" t="b">
        <f>AND(IF(predictwithfallbackConfidences!$F20=predictwithfallbackConfidences!$B20,0,1),IF(predictwithfallbackConfidences!$B20=Sheet1!A$2,1,0))</f>
        <v>0</v>
      </c>
      <c r="AB20" t="b">
        <f>AND(IF(predictwithfallbackConfidences!$F20=predictwithfallbackConfidences!$B20,0,1),IF(predictwithfallbackConfidences!$B20=Sheet1!B$2,1,0))</f>
        <v>0</v>
      </c>
      <c r="AC20" t="b">
        <f>AND(IF(predictwithfallbackConfidences!$F20=predictwithfallbackConfidences!$B20,0,1),IF(predictwithfallbackConfidences!$B20=Sheet1!C$2,1,0))</f>
        <v>0</v>
      </c>
      <c r="AD20" t="b">
        <f>AND(IF(predictwithfallbackConfidences!$F20=predictwithfallbackConfidences!$B20,0,1),IF(predictwithfallbackConfidences!$B20=Sheet1!D$2,1,0))</f>
        <v>0</v>
      </c>
    </row>
    <row r="21" spans="1:30" x14ac:dyDescent="0.25">
      <c r="A21" t="b">
        <f>AND(IF(predictwithfallbackConfidences!$E21=predictwithfallbackConfidences!$B21,1,0),IF(predictwithfallbackConfidences!$E21=Sheet1!A$2,1,0))</f>
        <v>0</v>
      </c>
      <c r="B21" t="b">
        <f>AND(IF(predictwithfallbackConfidences!$E21=predictwithfallbackConfidences!$B21,1,0),IF(predictwithfallbackConfidences!$E21=Sheet1!B$2,1,0))</f>
        <v>0</v>
      </c>
      <c r="C21" t="b">
        <f>AND(IF(predictwithfallbackConfidences!$E21=predictwithfallbackConfidences!$B21,1,0),IF(predictwithfallbackConfidences!$E21=Sheet1!C$2,1,0))</f>
        <v>1</v>
      </c>
      <c r="D21" t="b">
        <f>AND(IF(predictwithfallbackConfidences!$E21=predictwithfallbackConfidences!$B21,1,0),IF(predictwithfallbackConfidences!$E21=Sheet1!D$2,1,0))</f>
        <v>0</v>
      </c>
      <c r="F21" t="b">
        <f>AND(IF(predictwithfallbackConfidences!$E21=predictwithfallbackConfidences!$B21,0,1),IF(predictwithfallbackConfidences!$E21=Sheet1!A$2,1,0))</f>
        <v>0</v>
      </c>
      <c r="G21" t="b">
        <f>AND(IF(predictwithfallbackConfidences!$E21=predictwithfallbackConfidences!$B21,0,1),IF(predictwithfallbackConfidences!$E21=Sheet1!B$2,1,0))</f>
        <v>0</v>
      </c>
      <c r="H21" t="b">
        <f>AND(IF(predictwithfallbackConfidences!$E21=predictwithfallbackConfidences!$B21,0,1),IF(predictwithfallbackConfidences!$E21=Sheet1!C$2,1,0))</f>
        <v>0</v>
      </c>
      <c r="I21" t="b">
        <f>AND(IF(predictwithfallbackConfidences!$E21=predictwithfallbackConfidences!$B21,0,1),IF(predictwithfallbackConfidences!$E21=Sheet1!D$2,1,0))</f>
        <v>0</v>
      </c>
      <c r="K21" t="b">
        <f>AND(IF(predictwithfallbackConfidences!$E21=predictwithfallbackConfidences!$B21,0,1),IF(predictwithfallbackConfidences!$B21=Sheet1!A$2,1,0))</f>
        <v>0</v>
      </c>
      <c r="L21" t="b">
        <f>AND(IF(predictwithfallbackConfidences!$E21=predictwithfallbackConfidences!$B21,0,1),IF(predictwithfallbackConfidences!$B21=Sheet1!B$2,1,0))</f>
        <v>0</v>
      </c>
      <c r="M21" t="b">
        <f>AND(IF(predictwithfallbackConfidences!$E21=predictwithfallbackConfidences!$B21,0,1),IF(predictwithfallbackConfidences!$B21=Sheet1!C$2,1,0))</f>
        <v>0</v>
      </c>
      <c r="N21" t="b">
        <f>AND(IF(predictwithfallbackConfidences!$E21=predictwithfallbackConfidences!$B21,0,1),IF(predictwithfallbackConfidences!$B21=Sheet1!D$2,1,0))</f>
        <v>0</v>
      </c>
      <c r="Q21" t="b">
        <f>AND(IF(predictwithfallbackConfidences!$F21=predictwithfallbackConfidences!$B21,1,0),IF(predictwithfallbackConfidences!$F21=Sheet1!A$2,1,0))</f>
        <v>0</v>
      </c>
      <c r="R21" t="b">
        <f>AND(IF(predictwithfallbackConfidences!$F21=predictwithfallbackConfidences!$B21,1,0),IF(predictwithfallbackConfidences!$F21=Sheet1!B$2,1,0))</f>
        <v>0</v>
      </c>
      <c r="S21" t="b">
        <f>AND(IF(predictwithfallbackConfidences!$F21=predictwithfallbackConfidences!$B21,1,0),IF(predictwithfallbackConfidences!$F21=Sheet1!C$2,1,0))</f>
        <v>1</v>
      </c>
      <c r="T21" t="b">
        <f>AND(IF(predictwithfallbackConfidences!$F21=predictwithfallbackConfidences!$B21,1,0),IF(predictwithfallbackConfidences!$F21=Sheet1!D$2,1,0))</f>
        <v>0</v>
      </c>
      <c r="V21" t="b">
        <f>AND(IF(predictwithfallbackConfidences!$F21=predictwithfallbackConfidences!$B21,0,1),IF(predictwithfallbackConfidences!$F21=Sheet1!A$2,1,0))</f>
        <v>0</v>
      </c>
      <c r="W21" t="b">
        <f>AND(IF(predictwithfallbackConfidences!$F21=predictwithfallbackConfidences!$B21,0,1),IF(predictwithfallbackConfidences!$F21=Sheet1!B$2,1,0))</f>
        <v>0</v>
      </c>
      <c r="X21" t="b">
        <f>AND(IF(predictwithfallbackConfidences!$F21=predictwithfallbackConfidences!$B21,0,1),IF(predictwithfallbackConfidences!$F21=Sheet1!C$2,1,0))</f>
        <v>0</v>
      </c>
      <c r="Y21" t="b">
        <f>AND(IF(predictwithfallbackConfidences!$F21=predictwithfallbackConfidences!$B21,0,1),IF(predictwithfallbackConfidences!$F21=Sheet1!D$2,1,0))</f>
        <v>0</v>
      </c>
      <c r="AA21" t="b">
        <f>AND(IF(predictwithfallbackConfidences!$F21=predictwithfallbackConfidences!$B21,0,1),IF(predictwithfallbackConfidences!$B21=Sheet1!A$2,1,0))</f>
        <v>0</v>
      </c>
      <c r="AB21" t="b">
        <f>AND(IF(predictwithfallbackConfidences!$F21=predictwithfallbackConfidences!$B21,0,1),IF(predictwithfallbackConfidences!$B21=Sheet1!B$2,1,0))</f>
        <v>0</v>
      </c>
      <c r="AC21" t="b">
        <f>AND(IF(predictwithfallbackConfidences!$F21=predictwithfallbackConfidences!$B21,0,1),IF(predictwithfallbackConfidences!$B21=Sheet1!C$2,1,0))</f>
        <v>0</v>
      </c>
      <c r="AD21" t="b">
        <f>AND(IF(predictwithfallbackConfidences!$F21=predictwithfallbackConfidences!$B21,0,1),IF(predictwithfallbackConfidences!$B21=Sheet1!D$2,1,0))</f>
        <v>0</v>
      </c>
    </row>
    <row r="22" spans="1:30" x14ac:dyDescent="0.25">
      <c r="A22" t="b">
        <f>AND(IF(predictwithfallbackConfidences!$E22=predictwithfallbackConfidences!$B22,1,0),IF(predictwithfallbackConfidences!$E22=Sheet1!A$2,1,0))</f>
        <v>0</v>
      </c>
      <c r="B22" t="b">
        <f>AND(IF(predictwithfallbackConfidences!$E22=predictwithfallbackConfidences!$B22,1,0),IF(predictwithfallbackConfidences!$E22=Sheet1!B$2,1,0))</f>
        <v>0</v>
      </c>
      <c r="C22" t="b">
        <f>AND(IF(predictwithfallbackConfidences!$E22=predictwithfallbackConfidences!$B22,1,0),IF(predictwithfallbackConfidences!$E22=Sheet1!C$2,1,0))</f>
        <v>1</v>
      </c>
      <c r="D22" t="b">
        <f>AND(IF(predictwithfallbackConfidences!$E22=predictwithfallbackConfidences!$B22,1,0),IF(predictwithfallbackConfidences!$E22=Sheet1!D$2,1,0))</f>
        <v>0</v>
      </c>
      <c r="F22" t="b">
        <f>AND(IF(predictwithfallbackConfidences!$E22=predictwithfallbackConfidences!$B22,0,1),IF(predictwithfallbackConfidences!$E22=Sheet1!A$2,1,0))</f>
        <v>0</v>
      </c>
      <c r="G22" t="b">
        <f>AND(IF(predictwithfallbackConfidences!$E22=predictwithfallbackConfidences!$B22,0,1),IF(predictwithfallbackConfidences!$E22=Sheet1!B$2,1,0))</f>
        <v>0</v>
      </c>
      <c r="H22" t="b">
        <f>AND(IF(predictwithfallbackConfidences!$E22=predictwithfallbackConfidences!$B22,0,1),IF(predictwithfallbackConfidences!$E22=Sheet1!C$2,1,0))</f>
        <v>0</v>
      </c>
      <c r="I22" t="b">
        <f>AND(IF(predictwithfallbackConfidences!$E22=predictwithfallbackConfidences!$B22,0,1),IF(predictwithfallbackConfidences!$E22=Sheet1!D$2,1,0))</f>
        <v>0</v>
      </c>
      <c r="K22" t="b">
        <f>AND(IF(predictwithfallbackConfidences!$E22=predictwithfallbackConfidences!$B22,0,1),IF(predictwithfallbackConfidences!$B22=Sheet1!A$2,1,0))</f>
        <v>0</v>
      </c>
      <c r="L22" t="b">
        <f>AND(IF(predictwithfallbackConfidences!$E22=predictwithfallbackConfidences!$B22,0,1),IF(predictwithfallbackConfidences!$B22=Sheet1!B$2,1,0))</f>
        <v>0</v>
      </c>
      <c r="M22" t="b">
        <f>AND(IF(predictwithfallbackConfidences!$E22=predictwithfallbackConfidences!$B22,0,1),IF(predictwithfallbackConfidences!$B22=Sheet1!C$2,1,0))</f>
        <v>0</v>
      </c>
      <c r="N22" t="b">
        <f>AND(IF(predictwithfallbackConfidences!$E22=predictwithfallbackConfidences!$B22,0,1),IF(predictwithfallbackConfidences!$B22=Sheet1!D$2,1,0))</f>
        <v>0</v>
      </c>
      <c r="Q22" t="b">
        <f>AND(IF(predictwithfallbackConfidences!$F22=predictwithfallbackConfidences!$B22,1,0),IF(predictwithfallbackConfidences!$F22=Sheet1!A$2,1,0))</f>
        <v>0</v>
      </c>
      <c r="R22" t="b">
        <f>AND(IF(predictwithfallbackConfidences!$F22=predictwithfallbackConfidences!$B22,1,0),IF(predictwithfallbackConfidences!$F22=Sheet1!B$2,1,0))</f>
        <v>0</v>
      </c>
      <c r="S22" t="b">
        <f>AND(IF(predictwithfallbackConfidences!$F22=predictwithfallbackConfidences!$B22,1,0),IF(predictwithfallbackConfidences!$F22=Sheet1!C$2,1,0))</f>
        <v>0</v>
      </c>
      <c r="T22" t="b">
        <f>AND(IF(predictwithfallbackConfidences!$F22=predictwithfallbackConfidences!$B22,1,0),IF(predictwithfallbackConfidences!$F22=Sheet1!D$2,1,0))</f>
        <v>0</v>
      </c>
      <c r="V22" t="b">
        <f>AND(IF(predictwithfallbackConfidences!$F22=predictwithfallbackConfidences!$B22,0,1),IF(predictwithfallbackConfidences!$F22=Sheet1!A$2,1,0))</f>
        <v>0</v>
      </c>
      <c r="W22" t="b">
        <f>AND(IF(predictwithfallbackConfidences!$F22=predictwithfallbackConfidences!$B22,0,1),IF(predictwithfallbackConfidences!$F22=Sheet1!B$2,1,0))</f>
        <v>1</v>
      </c>
      <c r="X22" t="b">
        <f>AND(IF(predictwithfallbackConfidences!$F22=predictwithfallbackConfidences!$B22,0,1),IF(predictwithfallbackConfidences!$F22=Sheet1!C$2,1,0))</f>
        <v>0</v>
      </c>
      <c r="Y22" t="b">
        <f>AND(IF(predictwithfallbackConfidences!$F22=predictwithfallbackConfidences!$B22,0,1),IF(predictwithfallbackConfidences!$F22=Sheet1!D$2,1,0))</f>
        <v>0</v>
      </c>
      <c r="AA22" t="b">
        <f>AND(IF(predictwithfallbackConfidences!$F22=predictwithfallbackConfidences!$B22,0,1),IF(predictwithfallbackConfidences!$B22=Sheet1!A$2,1,0))</f>
        <v>0</v>
      </c>
      <c r="AB22" t="b">
        <f>AND(IF(predictwithfallbackConfidences!$F22=predictwithfallbackConfidences!$B22,0,1),IF(predictwithfallbackConfidences!$B22=Sheet1!B$2,1,0))</f>
        <v>0</v>
      </c>
      <c r="AC22" t="b">
        <f>AND(IF(predictwithfallbackConfidences!$F22=predictwithfallbackConfidences!$B22,0,1),IF(predictwithfallbackConfidences!$B22=Sheet1!C$2,1,0))</f>
        <v>1</v>
      </c>
      <c r="AD22" t="b">
        <f>AND(IF(predictwithfallbackConfidences!$F22=predictwithfallbackConfidences!$B22,0,1),IF(predictwithfallbackConfidences!$B22=Sheet1!D$2,1,0))</f>
        <v>0</v>
      </c>
    </row>
    <row r="23" spans="1:30" x14ac:dyDescent="0.25">
      <c r="A23" t="b">
        <f>AND(IF(predictwithfallbackConfidences!$E23=predictwithfallbackConfidences!$B23,1,0),IF(predictwithfallbackConfidences!$E23=Sheet1!A$2,1,0))</f>
        <v>0</v>
      </c>
      <c r="B23" t="b">
        <f>AND(IF(predictwithfallbackConfidences!$E23=predictwithfallbackConfidences!$B23,1,0),IF(predictwithfallbackConfidences!$E23=Sheet1!B$2,1,0))</f>
        <v>0</v>
      </c>
      <c r="C23" t="b">
        <f>AND(IF(predictwithfallbackConfidences!$E23=predictwithfallbackConfidences!$B23,1,0),IF(predictwithfallbackConfidences!$E23=Sheet1!C$2,1,0))</f>
        <v>0</v>
      </c>
      <c r="D23" t="b">
        <f>AND(IF(predictwithfallbackConfidences!$E23=predictwithfallbackConfidences!$B23,1,0),IF(predictwithfallbackConfidences!$E23=Sheet1!D$2,1,0))</f>
        <v>1</v>
      </c>
      <c r="F23" t="b">
        <f>AND(IF(predictwithfallbackConfidences!$E23=predictwithfallbackConfidences!$B23,0,1),IF(predictwithfallbackConfidences!$E23=Sheet1!A$2,1,0))</f>
        <v>0</v>
      </c>
      <c r="G23" t="b">
        <f>AND(IF(predictwithfallbackConfidences!$E23=predictwithfallbackConfidences!$B23,0,1),IF(predictwithfallbackConfidences!$E23=Sheet1!B$2,1,0))</f>
        <v>0</v>
      </c>
      <c r="H23" t="b">
        <f>AND(IF(predictwithfallbackConfidences!$E23=predictwithfallbackConfidences!$B23,0,1),IF(predictwithfallbackConfidences!$E23=Sheet1!C$2,1,0))</f>
        <v>0</v>
      </c>
      <c r="I23" t="b">
        <f>AND(IF(predictwithfallbackConfidences!$E23=predictwithfallbackConfidences!$B23,0,1),IF(predictwithfallbackConfidences!$E23=Sheet1!D$2,1,0))</f>
        <v>0</v>
      </c>
      <c r="K23" t="b">
        <f>AND(IF(predictwithfallbackConfidences!$E23=predictwithfallbackConfidences!$B23,0,1),IF(predictwithfallbackConfidences!$B23=Sheet1!A$2,1,0))</f>
        <v>0</v>
      </c>
      <c r="L23" t="b">
        <f>AND(IF(predictwithfallbackConfidences!$E23=predictwithfallbackConfidences!$B23,0,1),IF(predictwithfallbackConfidences!$B23=Sheet1!B$2,1,0))</f>
        <v>0</v>
      </c>
      <c r="M23" t="b">
        <f>AND(IF(predictwithfallbackConfidences!$E23=predictwithfallbackConfidences!$B23,0,1),IF(predictwithfallbackConfidences!$B23=Sheet1!C$2,1,0))</f>
        <v>0</v>
      </c>
      <c r="N23" t="b">
        <f>AND(IF(predictwithfallbackConfidences!$E23=predictwithfallbackConfidences!$B23,0,1),IF(predictwithfallbackConfidences!$B23=Sheet1!D$2,1,0))</f>
        <v>0</v>
      </c>
      <c r="Q23" t="b">
        <f>AND(IF(predictwithfallbackConfidences!$F23=predictwithfallbackConfidences!$B23,1,0),IF(predictwithfallbackConfidences!$F23=Sheet1!A$2,1,0))</f>
        <v>0</v>
      </c>
      <c r="R23" t="b">
        <f>AND(IF(predictwithfallbackConfidences!$F23=predictwithfallbackConfidences!$B23,1,0),IF(predictwithfallbackConfidences!$F23=Sheet1!B$2,1,0))</f>
        <v>0</v>
      </c>
      <c r="S23" t="b">
        <f>AND(IF(predictwithfallbackConfidences!$F23=predictwithfallbackConfidences!$B23,1,0),IF(predictwithfallbackConfidences!$F23=Sheet1!C$2,1,0))</f>
        <v>0</v>
      </c>
      <c r="T23" t="b">
        <f>AND(IF(predictwithfallbackConfidences!$F23=predictwithfallbackConfidences!$B23,1,0),IF(predictwithfallbackConfidences!$F23=Sheet1!D$2,1,0))</f>
        <v>1</v>
      </c>
      <c r="V23" t="b">
        <f>AND(IF(predictwithfallbackConfidences!$F23=predictwithfallbackConfidences!$B23,0,1),IF(predictwithfallbackConfidences!$F23=Sheet1!A$2,1,0))</f>
        <v>0</v>
      </c>
      <c r="W23" t="b">
        <f>AND(IF(predictwithfallbackConfidences!$F23=predictwithfallbackConfidences!$B23,0,1),IF(predictwithfallbackConfidences!$F23=Sheet1!B$2,1,0))</f>
        <v>0</v>
      </c>
      <c r="X23" t="b">
        <f>AND(IF(predictwithfallbackConfidences!$F23=predictwithfallbackConfidences!$B23,0,1),IF(predictwithfallbackConfidences!$F23=Sheet1!C$2,1,0))</f>
        <v>0</v>
      </c>
      <c r="Y23" t="b">
        <f>AND(IF(predictwithfallbackConfidences!$F23=predictwithfallbackConfidences!$B23,0,1),IF(predictwithfallbackConfidences!$F23=Sheet1!D$2,1,0))</f>
        <v>0</v>
      </c>
      <c r="AA23" t="b">
        <f>AND(IF(predictwithfallbackConfidences!$F23=predictwithfallbackConfidences!$B23,0,1),IF(predictwithfallbackConfidences!$B23=Sheet1!A$2,1,0))</f>
        <v>0</v>
      </c>
      <c r="AB23" t="b">
        <f>AND(IF(predictwithfallbackConfidences!$F23=predictwithfallbackConfidences!$B23,0,1),IF(predictwithfallbackConfidences!$B23=Sheet1!B$2,1,0))</f>
        <v>0</v>
      </c>
      <c r="AC23" t="b">
        <f>AND(IF(predictwithfallbackConfidences!$F23=predictwithfallbackConfidences!$B23,0,1),IF(predictwithfallbackConfidences!$B23=Sheet1!C$2,1,0))</f>
        <v>0</v>
      </c>
      <c r="AD23" t="b">
        <f>AND(IF(predictwithfallbackConfidences!$F23=predictwithfallbackConfidences!$B23,0,1),IF(predictwithfallbackConfidences!$B23=Sheet1!D$2,1,0))</f>
        <v>0</v>
      </c>
    </row>
    <row r="24" spans="1:30" x14ac:dyDescent="0.25">
      <c r="A24" t="b">
        <f>AND(IF(predictwithfallbackConfidences!$E24=predictwithfallbackConfidences!$B24,1,0),IF(predictwithfallbackConfidences!$E24=Sheet1!A$2,1,0))</f>
        <v>0</v>
      </c>
      <c r="B24" t="b">
        <f>AND(IF(predictwithfallbackConfidences!$E24=predictwithfallbackConfidences!$B24,1,0),IF(predictwithfallbackConfidences!$E24=Sheet1!B$2,1,0))</f>
        <v>0</v>
      </c>
      <c r="C24" t="b">
        <f>AND(IF(predictwithfallbackConfidences!$E24=predictwithfallbackConfidences!$B24,1,0),IF(predictwithfallbackConfidences!$E24=Sheet1!C$2,1,0))</f>
        <v>0</v>
      </c>
      <c r="D24" t="b">
        <f>AND(IF(predictwithfallbackConfidences!$E24=predictwithfallbackConfidences!$B24,1,0),IF(predictwithfallbackConfidences!$E24=Sheet1!D$2,1,0))</f>
        <v>1</v>
      </c>
      <c r="F24" t="b">
        <f>AND(IF(predictwithfallbackConfidences!$E24=predictwithfallbackConfidences!$B24,0,1),IF(predictwithfallbackConfidences!$E24=Sheet1!A$2,1,0))</f>
        <v>0</v>
      </c>
      <c r="G24" t="b">
        <f>AND(IF(predictwithfallbackConfidences!$E24=predictwithfallbackConfidences!$B24,0,1),IF(predictwithfallbackConfidences!$E24=Sheet1!B$2,1,0))</f>
        <v>0</v>
      </c>
      <c r="H24" t="b">
        <f>AND(IF(predictwithfallbackConfidences!$E24=predictwithfallbackConfidences!$B24,0,1),IF(predictwithfallbackConfidences!$E24=Sheet1!C$2,1,0))</f>
        <v>0</v>
      </c>
      <c r="I24" t="b">
        <f>AND(IF(predictwithfallbackConfidences!$E24=predictwithfallbackConfidences!$B24,0,1),IF(predictwithfallbackConfidences!$E24=Sheet1!D$2,1,0))</f>
        <v>0</v>
      </c>
      <c r="K24" t="b">
        <f>AND(IF(predictwithfallbackConfidences!$E24=predictwithfallbackConfidences!$B24,0,1),IF(predictwithfallbackConfidences!$B24=Sheet1!A$2,1,0))</f>
        <v>0</v>
      </c>
      <c r="L24" t="b">
        <f>AND(IF(predictwithfallbackConfidences!$E24=predictwithfallbackConfidences!$B24,0,1),IF(predictwithfallbackConfidences!$B24=Sheet1!B$2,1,0))</f>
        <v>0</v>
      </c>
      <c r="M24" t="b">
        <f>AND(IF(predictwithfallbackConfidences!$E24=predictwithfallbackConfidences!$B24,0,1),IF(predictwithfallbackConfidences!$B24=Sheet1!C$2,1,0))</f>
        <v>0</v>
      </c>
      <c r="N24" t="b">
        <f>AND(IF(predictwithfallbackConfidences!$E24=predictwithfallbackConfidences!$B24,0,1),IF(predictwithfallbackConfidences!$B24=Sheet1!D$2,1,0))</f>
        <v>0</v>
      </c>
      <c r="Q24" t="b">
        <f>AND(IF(predictwithfallbackConfidences!$F24=predictwithfallbackConfidences!$B24,1,0),IF(predictwithfallbackConfidences!$F24=Sheet1!A$2,1,0))</f>
        <v>0</v>
      </c>
      <c r="R24" t="b">
        <f>AND(IF(predictwithfallbackConfidences!$F24=predictwithfallbackConfidences!$B24,1,0),IF(predictwithfallbackConfidences!$F24=Sheet1!B$2,1,0))</f>
        <v>0</v>
      </c>
      <c r="S24" t="b">
        <f>AND(IF(predictwithfallbackConfidences!$F24=predictwithfallbackConfidences!$B24,1,0),IF(predictwithfallbackConfidences!$F24=Sheet1!C$2,1,0))</f>
        <v>0</v>
      </c>
      <c r="T24" t="b">
        <f>AND(IF(predictwithfallbackConfidences!$F24=predictwithfallbackConfidences!$B24,1,0),IF(predictwithfallbackConfidences!$F24=Sheet1!D$2,1,0))</f>
        <v>1</v>
      </c>
      <c r="V24" t="b">
        <f>AND(IF(predictwithfallbackConfidences!$F24=predictwithfallbackConfidences!$B24,0,1),IF(predictwithfallbackConfidences!$F24=Sheet1!A$2,1,0))</f>
        <v>0</v>
      </c>
      <c r="W24" t="b">
        <f>AND(IF(predictwithfallbackConfidences!$F24=predictwithfallbackConfidences!$B24,0,1),IF(predictwithfallbackConfidences!$F24=Sheet1!B$2,1,0))</f>
        <v>0</v>
      </c>
      <c r="X24" t="b">
        <f>AND(IF(predictwithfallbackConfidences!$F24=predictwithfallbackConfidences!$B24,0,1),IF(predictwithfallbackConfidences!$F24=Sheet1!C$2,1,0))</f>
        <v>0</v>
      </c>
      <c r="Y24" t="b">
        <f>AND(IF(predictwithfallbackConfidences!$F24=predictwithfallbackConfidences!$B24,0,1),IF(predictwithfallbackConfidences!$F24=Sheet1!D$2,1,0))</f>
        <v>0</v>
      </c>
      <c r="AA24" t="b">
        <f>AND(IF(predictwithfallbackConfidences!$F24=predictwithfallbackConfidences!$B24,0,1),IF(predictwithfallbackConfidences!$B24=Sheet1!A$2,1,0))</f>
        <v>0</v>
      </c>
      <c r="AB24" t="b">
        <f>AND(IF(predictwithfallbackConfidences!$F24=predictwithfallbackConfidences!$B24,0,1),IF(predictwithfallbackConfidences!$B24=Sheet1!B$2,1,0))</f>
        <v>0</v>
      </c>
      <c r="AC24" t="b">
        <f>AND(IF(predictwithfallbackConfidences!$F24=predictwithfallbackConfidences!$B24,0,1),IF(predictwithfallbackConfidences!$B24=Sheet1!C$2,1,0))</f>
        <v>0</v>
      </c>
      <c r="AD24" t="b">
        <f>AND(IF(predictwithfallbackConfidences!$F24=predictwithfallbackConfidences!$B24,0,1),IF(predictwithfallbackConfidences!$B24=Sheet1!D$2,1,0))</f>
        <v>0</v>
      </c>
    </row>
    <row r="25" spans="1:30" x14ac:dyDescent="0.25">
      <c r="A25" t="b">
        <f>AND(IF(predictwithfallbackConfidences!$E25=predictwithfallbackConfidences!$B25,1,0),IF(predictwithfallbackConfidences!$E25=Sheet1!A$2,1,0))</f>
        <v>0</v>
      </c>
      <c r="B25" t="b">
        <f>AND(IF(predictwithfallbackConfidences!$E25=predictwithfallbackConfidences!$B25,1,0),IF(predictwithfallbackConfidences!$E25=Sheet1!B$2,1,0))</f>
        <v>0</v>
      </c>
      <c r="C25" t="b">
        <f>AND(IF(predictwithfallbackConfidences!$E25=predictwithfallbackConfidences!$B25,1,0),IF(predictwithfallbackConfidences!$E25=Sheet1!C$2,1,0))</f>
        <v>0</v>
      </c>
      <c r="D25" t="b">
        <f>AND(IF(predictwithfallbackConfidences!$E25=predictwithfallbackConfidences!$B25,1,0),IF(predictwithfallbackConfidences!$E25=Sheet1!D$2,1,0))</f>
        <v>1</v>
      </c>
      <c r="F25" t="b">
        <f>AND(IF(predictwithfallbackConfidences!$E25=predictwithfallbackConfidences!$B25,0,1),IF(predictwithfallbackConfidences!$E25=Sheet1!A$2,1,0))</f>
        <v>0</v>
      </c>
      <c r="G25" t="b">
        <f>AND(IF(predictwithfallbackConfidences!$E25=predictwithfallbackConfidences!$B25,0,1),IF(predictwithfallbackConfidences!$E25=Sheet1!B$2,1,0))</f>
        <v>0</v>
      </c>
      <c r="H25" t="b">
        <f>AND(IF(predictwithfallbackConfidences!$E25=predictwithfallbackConfidences!$B25,0,1),IF(predictwithfallbackConfidences!$E25=Sheet1!C$2,1,0))</f>
        <v>0</v>
      </c>
      <c r="I25" t="b">
        <f>AND(IF(predictwithfallbackConfidences!$E25=predictwithfallbackConfidences!$B25,0,1),IF(predictwithfallbackConfidences!$E25=Sheet1!D$2,1,0))</f>
        <v>0</v>
      </c>
      <c r="K25" t="b">
        <f>AND(IF(predictwithfallbackConfidences!$E25=predictwithfallbackConfidences!$B25,0,1),IF(predictwithfallbackConfidences!$B25=Sheet1!A$2,1,0))</f>
        <v>0</v>
      </c>
      <c r="L25" t="b">
        <f>AND(IF(predictwithfallbackConfidences!$E25=predictwithfallbackConfidences!$B25,0,1),IF(predictwithfallbackConfidences!$B25=Sheet1!B$2,1,0))</f>
        <v>0</v>
      </c>
      <c r="M25" t="b">
        <f>AND(IF(predictwithfallbackConfidences!$E25=predictwithfallbackConfidences!$B25,0,1),IF(predictwithfallbackConfidences!$B25=Sheet1!C$2,1,0))</f>
        <v>0</v>
      </c>
      <c r="N25" t="b">
        <f>AND(IF(predictwithfallbackConfidences!$E25=predictwithfallbackConfidences!$B25,0,1),IF(predictwithfallbackConfidences!$B25=Sheet1!D$2,1,0))</f>
        <v>0</v>
      </c>
      <c r="Q25" t="b">
        <f>AND(IF(predictwithfallbackConfidences!$F25=predictwithfallbackConfidences!$B25,1,0),IF(predictwithfallbackConfidences!$F25=Sheet1!A$2,1,0))</f>
        <v>0</v>
      </c>
      <c r="R25" t="b">
        <f>AND(IF(predictwithfallbackConfidences!$F25=predictwithfallbackConfidences!$B25,1,0),IF(predictwithfallbackConfidences!$F25=Sheet1!B$2,1,0))</f>
        <v>0</v>
      </c>
      <c r="S25" t="b">
        <f>AND(IF(predictwithfallbackConfidences!$F25=predictwithfallbackConfidences!$B25,1,0),IF(predictwithfallbackConfidences!$F25=Sheet1!C$2,1,0))</f>
        <v>0</v>
      </c>
      <c r="T25" t="b">
        <f>AND(IF(predictwithfallbackConfidences!$F25=predictwithfallbackConfidences!$B25,1,0),IF(predictwithfallbackConfidences!$F25=Sheet1!D$2,1,0))</f>
        <v>1</v>
      </c>
      <c r="V25" t="b">
        <f>AND(IF(predictwithfallbackConfidences!$F25=predictwithfallbackConfidences!$B25,0,1),IF(predictwithfallbackConfidences!$F25=Sheet1!A$2,1,0))</f>
        <v>0</v>
      </c>
      <c r="W25" t="b">
        <f>AND(IF(predictwithfallbackConfidences!$F25=predictwithfallbackConfidences!$B25,0,1),IF(predictwithfallbackConfidences!$F25=Sheet1!B$2,1,0))</f>
        <v>0</v>
      </c>
      <c r="X25" t="b">
        <f>AND(IF(predictwithfallbackConfidences!$F25=predictwithfallbackConfidences!$B25,0,1),IF(predictwithfallbackConfidences!$F25=Sheet1!C$2,1,0))</f>
        <v>0</v>
      </c>
      <c r="Y25" t="b">
        <f>AND(IF(predictwithfallbackConfidences!$F25=predictwithfallbackConfidences!$B25,0,1),IF(predictwithfallbackConfidences!$F25=Sheet1!D$2,1,0))</f>
        <v>0</v>
      </c>
      <c r="AA25" t="b">
        <f>AND(IF(predictwithfallbackConfidences!$F25=predictwithfallbackConfidences!$B25,0,1),IF(predictwithfallbackConfidences!$B25=Sheet1!A$2,1,0))</f>
        <v>0</v>
      </c>
      <c r="AB25" t="b">
        <f>AND(IF(predictwithfallbackConfidences!$F25=predictwithfallbackConfidences!$B25,0,1),IF(predictwithfallbackConfidences!$B25=Sheet1!B$2,1,0))</f>
        <v>0</v>
      </c>
      <c r="AC25" t="b">
        <f>AND(IF(predictwithfallbackConfidences!$F25=predictwithfallbackConfidences!$B25,0,1),IF(predictwithfallbackConfidences!$B25=Sheet1!C$2,1,0))</f>
        <v>0</v>
      </c>
      <c r="AD25" t="b">
        <f>AND(IF(predictwithfallbackConfidences!$F25=predictwithfallbackConfidences!$B25,0,1),IF(predictwithfallbackConfidences!$B25=Sheet1!D$2,1,0))</f>
        <v>0</v>
      </c>
    </row>
    <row r="26" spans="1:30" x14ac:dyDescent="0.25">
      <c r="A26" t="b">
        <f>AND(IF(predictwithfallbackConfidences!$E26=predictwithfallbackConfidences!$B26,1,0),IF(predictwithfallbackConfidences!$E26=Sheet1!A$2,1,0))</f>
        <v>0</v>
      </c>
      <c r="B26" t="b">
        <f>AND(IF(predictwithfallbackConfidences!$E26=predictwithfallbackConfidences!$B26,1,0),IF(predictwithfallbackConfidences!$E26=Sheet1!B$2,1,0))</f>
        <v>0</v>
      </c>
      <c r="C26" t="b">
        <f>AND(IF(predictwithfallbackConfidences!$E26=predictwithfallbackConfidences!$B26,1,0),IF(predictwithfallbackConfidences!$E26=Sheet1!C$2,1,0))</f>
        <v>0</v>
      </c>
      <c r="D26" t="b">
        <f>AND(IF(predictwithfallbackConfidences!$E26=predictwithfallbackConfidences!$B26,1,0),IF(predictwithfallbackConfidences!$E26=Sheet1!D$2,1,0))</f>
        <v>0</v>
      </c>
      <c r="F26" t="b">
        <f>AND(IF(predictwithfallbackConfidences!$E26=predictwithfallbackConfidences!$B26,0,1),IF(predictwithfallbackConfidences!$E26=Sheet1!A$2,1,0))</f>
        <v>0</v>
      </c>
      <c r="G26" t="b">
        <f>AND(IF(predictwithfallbackConfidences!$E26=predictwithfallbackConfidences!$B26,0,1),IF(predictwithfallbackConfidences!$E26=Sheet1!B$2,1,0))</f>
        <v>0</v>
      </c>
      <c r="H26" t="b">
        <f>AND(IF(predictwithfallbackConfidences!$E26=predictwithfallbackConfidences!$B26,0,1),IF(predictwithfallbackConfidences!$E26=Sheet1!C$2,1,0))</f>
        <v>1</v>
      </c>
      <c r="I26" t="b">
        <f>AND(IF(predictwithfallbackConfidences!$E26=predictwithfallbackConfidences!$B26,0,1),IF(predictwithfallbackConfidences!$E26=Sheet1!D$2,1,0))</f>
        <v>0</v>
      </c>
      <c r="K26" t="b">
        <f>AND(IF(predictwithfallbackConfidences!$E26=predictwithfallbackConfidences!$B26,0,1),IF(predictwithfallbackConfidences!$B26=Sheet1!A$2,1,0))</f>
        <v>0</v>
      </c>
      <c r="L26" t="b">
        <f>AND(IF(predictwithfallbackConfidences!$E26=predictwithfallbackConfidences!$B26,0,1),IF(predictwithfallbackConfidences!$B26=Sheet1!B$2,1,0))</f>
        <v>0</v>
      </c>
      <c r="M26" t="b">
        <f>AND(IF(predictwithfallbackConfidences!$E26=predictwithfallbackConfidences!$B26,0,1),IF(predictwithfallbackConfidences!$B26=Sheet1!C$2,1,0))</f>
        <v>0</v>
      </c>
      <c r="N26" t="b">
        <f>AND(IF(predictwithfallbackConfidences!$E26=predictwithfallbackConfidences!$B26,0,1),IF(predictwithfallbackConfidences!$B26=Sheet1!D$2,1,0))</f>
        <v>1</v>
      </c>
      <c r="Q26" t="b">
        <f>AND(IF(predictwithfallbackConfidences!$F26=predictwithfallbackConfidences!$B26,1,0),IF(predictwithfallbackConfidences!$F26=Sheet1!A$2,1,0))</f>
        <v>0</v>
      </c>
      <c r="R26" t="b">
        <f>AND(IF(predictwithfallbackConfidences!$F26=predictwithfallbackConfidences!$B26,1,0),IF(predictwithfallbackConfidences!$F26=Sheet1!B$2,1,0))</f>
        <v>0</v>
      </c>
      <c r="S26" t="b">
        <f>AND(IF(predictwithfallbackConfidences!$F26=predictwithfallbackConfidences!$B26,1,0),IF(predictwithfallbackConfidences!$F26=Sheet1!C$2,1,0))</f>
        <v>0</v>
      </c>
      <c r="T26" t="b">
        <f>AND(IF(predictwithfallbackConfidences!$F26=predictwithfallbackConfidences!$B26,1,0),IF(predictwithfallbackConfidences!$F26=Sheet1!D$2,1,0))</f>
        <v>0</v>
      </c>
      <c r="V26" t="b">
        <f>AND(IF(predictwithfallbackConfidences!$F26=predictwithfallbackConfidences!$B26,0,1),IF(predictwithfallbackConfidences!$F26=Sheet1!A$2,1,0))</f>
        <v>0</v>
      </c>
      <c r="W26" t="b">
        <f>AND(IF(predictwithfallbackConfidences!$F26=predictwithfallbackConfidences!$B26,0,1),IF(predictwithfallbackConfidences!$F26=Sheet1!B$2,1,0))</f>
        <v>0</v>
      </c>
      <c r="X26" t="b">
        <f>AND(IF(predictwithfallbackConfidences!$F26=predictwithfallbackConfidences!$B26,0,1),IF(predictwithfallbackConfidences!$F26=Sheet1!C$2,1,0))</f>
        <v>1</v>
      </c>
      <c r="Y26" t="b">
        <f>AND(IF(predictwithfallbackConfidences!$F26=predictwithfallbackConfidences!$B26,0,1),IF(predictwithfallbackConfidences!$F26=Sheet1!D$2,1,0))</f>
        <v>0</v>
      </c>
      <c r="AA26" t="b">
        <f>AND(IF(predictwithfallbackConfidences!$F26=predictwithfallbackConfidences!$B26,0,1),IF(predictwithfallbackConfidences!$B26=Sheet1!A$2,1,0))</f>
        <v>0</v>
      </c>
      <c r="AB26" t="b">
        <f>AND(IF(predictwithfallbackConfidences!$F26=predictwithfallbackConfidences!$B26,0,1),IF(predictwithfallbackConfidences!$B26=Sheet1!B$2,1,0))</f>
        <v>0</v>
      </c>
      <c r="AC26" t="b">
        <f>AND(IF(predictwithfallbackConfidences!$F26=predictwithfallbackConfidences!$B26,0,1),IF(predictwithfallbackConfidences!$B26=Sheet1!C$2,1,0))</f>
        <v>0</v>
      </c>
      <c r="AD26" t="b">
        <f>AND(IF(predictwithfallbackConfidences!$F26=predictwithfallbackConfidences!$B26,0,1),IF(predictwithfallbackConfidences!$B26=Sheet1!D$2,1,0))</f>
        <v>1</v>
      </c>
    </row>
    <row r="27" spans="1:30" x14ac:dyDescent="0.25">
      <c r="A27" t="b">
        <f>AND(IF(predictwithfallbackConfidences!$E27=predictwithfallbackConfidences!$B27,1,0),IF(predictwithfallbackConfidences!$E27=Sheet1!A$2,1,0))</f>
        <v>0</v>
      </c>
      <c r="B27" t="b">
        <f>AND(IF(predictwithfallbackConfidences!$E27=predictwithfallbackConfidences!$B27,1,0),IF(predictwithfallbackConfidences!$E27=Sheet1!B$2,1,0))</f>
        <v>0</v>
      </c>
      <c r="C27" t="b">
        <f>AND(IF(predictwithfallbackConfidences!$E27=predictwithfallbackConfidences!$B27,1,0),IF(predictwithfallbackConfidences!$E27=Sheet1!C$2,1,0))</f>
        <v>0</v>
      </c>
      <c r="D27" t="b">
        <f>AND(IF(predictwithfallbackConfidences!$E27=predictwithfallbackConfidences!$B27,1,0),IF(predictwithfallbackConfidences!$E27=Sheet1!D$2,1,0))</f>
        <v>1</v>
      </c>
      <c r="F27" t="b">
        <f>AND(IF(predictwithfallbackConfidences!$E27=predictwithfallbackConfidences!$B27,0,1),IF(predictwithfallbackConfidences!$E27=Sheet1!A$2,1,0))</f>
        <v>0</v>
      </c>
      <c r="G27" t="b">
        <f>AND(IF(predictwithfallbackConfidences!$E27=predictwithfallbackConfidences!$B27,0,1),IF(predictwithfallbackConfidences!$E27=Sheet1!B$2,1,0))</f>
        <v>0</v>
      </c>
      <c r="H27" t="b">
        <f>AND(IF(predictwithfallbackConfidences!$E27=predictwithfallbackConfidences!$B27,0,1),IF(predictwithfallbackConfidences!$E27=Sheet1!C$2,1,0))</f>
        <v>0</v>
      </c>
      <c r="I27" t="b">
        <f>AND(IF(predictwithfallbackConfidences!$E27=predictwithfallbackConfidences!$B27,0,1),IF(predictwithfallbackConfidences!$E27=Sheet1!D$2,1,0))</f>
        <v>0</v>
      </c>
      <c r="K27" t="b">
        <f>AND(IF(predictwithfallbackConfidences!$E27=predictwithfallbackConfidences!$B27,0,1),IF(predictwithfallbackConfidences!$B27=Sheet1!A$2,1,0))</f>
        <v>0</v>
      </c>
      <c r="L27" t="b">
        <f>AND(IF(predictwithfallbackConfidences!$E27=predictwithfallbackConfidences!$B27,0,1),IF(predictwithfallbackConfidences!$B27=Sheet1!B$2,1,0))</f>
        <v>0</v>
      </c>
      <c r="M27" t="b">
        <f>AND(IF(predictwithfallbackConfidences!$E27=predictwithfallbackConfidences!$B27,0,1),IF(predictwithfallbackConfidences!$B27=Sheet1!C$2,1,0))</f>
        <v>0</v>
      </c>
      <c r="N27" t="b">
        <f>AND(IF(predictwithfallbackConfidences!$E27=predictwithfallbackConfidences!$B27,0,1),IF(predictwithfallbackConfidences!$B27=Sheet1!D$2,1,0))</f>
        <v>0</v>
      </c>
      <c r="Q27" t="b">
        <f>AND(IF(predictwithfallbackConfidences!$F27=predictwithfallbackConfidences!$B27,1,0),IF(predictwithfallbackConfidences!$F27=Sheet1!A$2,1,0))</f>
        <v>0</v>
      </c>
      <c r="R27" t="b">
        <f>AND(IF(predictwithfallbackConfidences!$F27=predictwithfallbackConfidences!$B27,1,0),IF(predictwithfallbackConfidences!$F27=Sheet1!B$2,1,0))</f>
        <v>0</v>
      </c>
      <c r="S27" t="b">
        <f>AND(IF(predictwithfallbackConfidences!$F27=predictwithfallbackConfidences!$B27,1,0),IF(predictwithfallbackConfidences!$F27=Sheet1!C$2,1,0))</f>
        <v>0</v>
      </c>
      <c r="T27" t="b">
        <f>AND(IF(predictwithfallbackConfidences!$F27=predictwithfallbackConfidences!$B27,1,0),IF(predictwithfallbackConfidences!$F27=Sheet1!D$2,1,0))</f>
        <v>1</v>
      </c>
      <c r="V27" t="b">
        <f>AND(IF(predictwithfallbackConfidences!$F27=predictwithfallbackConfidences!$B27,0,1),IF(predictwithfallbackConfidences!$F27=Sheet1!A$2,1,0))</f>
        <v>0</v>
      </c>
      <c r="W27" t="b">
        <f>AND(IF(predictwithfallbackConfidences!$F27=predictwithfallbackConfidences!$B27,0,1),IF(predictwithfallbackConfidences!$F27=Sheet1!B$2,1,0))</f>
        <v>0</v>
      </c>
      <c r="X27" t="b">
        <f>AND(IF(predictwithfallbackConfidences!$F27=predictwithfallbackConfidences!$B27,0,1),IF(predictwithfallbackConfidences!$F27=Sheet1!C$2,1,0))</f>
        <v>0</v>
      </c>
      <c r="Y27" t="b">
        <f>AND(IF(predictwithfallbackConfidences!$F27=predictwithfallbackConfidences!$B27,0,1),IF(predictwithfallbackConfidences!$F27=Sheet1!D$2,1,0))</f>
        <v>0</v>
      </c>
      <c r="AA27" t="b">
        <f>AND(IF(predictwithfallbackConfidences!$F27=predictwithfallbackConfidences!$B27,0,1),IF(predictwithfallbackConfidences!$B27=Sheet1!A$2,1,0))</f>
        <v>0</v>
      </c>
      <c r="AB27" t="b">
        <f>AND(IF(predictwithfallbackConfidences!$F27=predictwithfallbackConfidences!$B27,0,1),IF(predictwithfallbackConfidences!$B27=Sheet1!B$2,1,0))</f>
        <v>0</v>
      </c>
      <c r="AC27" t="b">
        <f>AND(IF(predictwithfallbackConfidences!$F27=predictwithfallbackConfidences!$B27,0,1),IF(predictwithfallbackConfidences!$B27=Sheet1!C$2,1,0))</f>
        <v>0</v>
      </c>
      <c r="AD27" t="b">
        <f>AND(IF(predictwithfallbackConfidences!$F27=predictwithfallbackConfidences!$B27,0,1),IF(predictwithfallbackConfidences!$B27=Sheet1!D$2,1,0))</f>
        <v>0</v>
      </c>
    </row>
    <row r="28" spans="1:30" x14ac:dyDescent="0.25">
      <c r="A28" t="b">
        <f>AND(IF(predictwithfallbackConfidences!$E28=predictwithfallbackConfidences!$B28,1,0),IF(predictwithfallbackConfidences!$E28=Sheet1!A$2,1,0))</f>
        <v>0</v>
      </c>
      <c r="B28" t="b">
        <f>AND(IF(predictwithfallbackConfidences!$E28=predictwithfallbackConfidences!$B28,1,0),IF(predictwithfallbackConfidences!$E28=Sheet1!B$2,1,0))</f>
        <v>0</v>
      </c>
      <c r="C28" t="b">
        <f>AND(IF(predictwithfallbackConfidences!$E28=predictwithfallbackConfidences!$B28,1,0),IF(predictwithfallbackConfidences!$E28=Sheet1!C$2,1,0))</f>
        <v>0</v>
      </c>
      <c r="D28" t="b">
        <f>AND(IF(predictwithfallbackConfidences!$E28=predictwithfallbackConfidences!$B28,1,0),IF(predictwithfallbackConfidences!$E28=Sheet1!D$2,1,0))</f>
        <v>1</v>
      </c>
      <c r="F28" t="b">
        <f>AND(IF(predictwithfallbackConfidences!$E28=predictwithfallbackConfidences!$B28,0,1),IF(predictwithfallbackConfidences!$E28=Sheet1!A$2,1,0))</f>
        <v>0</v>
      </c>
      <c r="G28" t="b">
        <f>AND(IF(predictwithfallbackConfidences!$E28=predictwithfallbackConfidences!$B28,0,1),IF(predictwithfallbackConfidences!$E28=Sheet1!B$2,1,0))</f>
        <v>0</v>
      </c>
      <c r="H28" t="b">
        <f>AND(IF(predictwithfallbackConfidences!$E28=predictwithfallbackConfidences!$B28,0,1),IF(predictwithfallbackConfidences!$E28=Sheet1!C$2,1,0))</f>
        <v>0</v>
      </c>
      <c r="I28" t="b">
        <f>AND(IF(predictwithfallbackConfidences!$E28=predictwithfallbackConfidences!$B28,0,1),IF(predictwithfallbackConfidences!$E28=Sheet1!D$2,1,0))</f>
        <v>0</v>
      </c>
      <c r="K28" t="b">
        <f>AND(IF(predictwithfallbackConfidences!$E28=predictwithfallbackConfidences!$B28,0,1),IF(predictwithfallbackConfidences!$B28=Sheet1!A$2,1,0))</f>
        <v>0</v>
      </c>
      <c r="L28" t="b">
        <f>AND(IF(predictwithfallbackConfidences!$E28=predictwithfallbackConfidences!$B28,0,1),IF(predictwithfallbackConfidences!$B28=Sheet1!B$2,1,0))</f>
        <v>0</v>
      </c>
      <c r="M28" t="b">
        <f>AND(IF(predictwithfallbackConfidences!$E28=predictwithfallbackConfidences!$B28,0,1),IF(predictwithfallbackConfidences!$B28=Sheet1!C$2,1,0))</f>
        <v>0</v>
      </c>
      <c r="N28" t="b">
        <f>AND(IF(predictwithfallbackConfidences!$E28=predictwithfallbackConfidences!$B28,0,1),IF(predictwithfallbackConfidences!$B28=Sheet1!D$2,1,0))</f>
        <v>0</v>
      </c>
      <c r="Q28" t="b">
        <f>AND(IF(predictwithfallbackConfidences!$F28=predictwithfallbackConfidences!$B28,1,0),IF(predictwithfallbackConfidences!$F28=Sheet1!A$2,1,0))</f>
        <v>0</v>
      </c>
      <c r="R28" t="b">
        <f>AND(IF(predictwithfallbackConfidences!$F28=predictwithfallbackConfidences!$B28,1,0),IF(predictwithfallbackConfidences!$F28=Sheet1!B$2,1,0))</f>
        <v>0</v>
      </c>
      <c r="S28" t="b">
        <f>AND(IF(predictwithfallbackConfidences!$F28=predictwithfallbackConfidences!$B28,1,0),IF(predictwithfallbackConfidences!$F28=Sheet1!C$2,1,0))</f>
        <v>0</v>
      </c>
      <c r="T28" t="b">
        <f>AND(IF(predictwithfallbackConfidences!$F28=predictwithfallbackConfidences!$B28,1,0),IF(predictwithfallbackConfidences!$F28=Sheet1!D$2,1,0))</f>
        <v>1</v>
      </c>
      <c r="V28" t="b">
        <f>AND(IF(predictwithfallbackConfidences!$F28=predictwithfallbackConfidences!$B28,0,1),IF(predictwithfallbackConfidences!$F28=Sheet1!A$2,1,0))</f>
        <v>0</v>
      </c>
      <c r="W28" t="b">
        <f>AND(IF(predictwithfallbackConfidences!$F28=predictwithfallbackConfidences!$B28,0,1),IF(predictwithfallbackConfidences!$F28=Sheet1!B$2,1,0))</f>
        <v>0</v>
      </c>
      <c r="X28" t="b">
        <f>AND(IF(predictwithfallbackConfidences!$F28=predictwithfallbackConfidences!$B28,0,1),IF(predictwithfallbackConfidences!$F28=Sheet1!C$2,1,0))</f>
        <v>0</v>
      </c>
      <c r="Y28" t="b">
        <f>AND(IF(predictwithfallbackConfidences!$F28=predictwithfallbackConfidences!$B28,0,1),IF(predictwithfallbackConfidences!$F28=Sheet1!D$2,1,0))</f>
        <v>0</v>
      </c>
      <c r="AA28" t="b">
        <f>AND(IF(predictwithfallbackConfidences!$F28=predictwithfallbackConfidences!$B28,0,1),IF(predictwithfallbackConfidences!$B28=Sheet1!A$2,1,0))</f>
        <v>0</v>
      </c>
      <c r="AB28" t="b">
        <f>AND(IF(predictwithfallbackConfidences!$F28=predictwithfallbackConfidences!$B28,0,1),IF(predictwithfallbackConfidences!$B28=Sheet1!B$2,1,0))</f>
        <v>0</v>
      </c>
      <c r="AC28" t="b">
        <f>AND(IF(predictwithfallbackConfidences!$F28=predictwithfallbackConfidences!$B28,0,1),IF(predictwithfallbackConfidences!$B28=Sheet1!C$2,1,0))</f>
        <v>0</v>
      </c>
      <c r="AD28" t="b">
        <f>AND(IF(predictwithfallbackConfidences!$F28=predictwithfallbackConfidences!$B28,0,1),IF(predictwithfallbackConfidences!$B28=Sheet1!D$2,1,0))</f>
        <v>0</v>
      </c>
    </row>
    <row r="29" spans="1:30" x14ac:dyDescent="0.25">
      <c r="A29" t="b">
        <f>AND(IF(predictwithfallbackConfidences!$E29=predictwithfallbackConfidences!$B29,1,0),IF(predictwithfallbackConfidences!$E29=Sheet1!A$2,1,0))</f>
        <v>0</v>
      </c>
      <c r="B29" t="b">
        <f>AND(IF(predictwithfallbackConfidences!$E29=predictwithfallbackConfidences!$B29,1,0),IF(predictwithfallbackConfidences!$E29=Sheet1!B$2,1,0))</f>
        <v>0</v>
      </c>
      <c r="C29" t="b">
        <f>AND(IF(predictwithfallbackConfidences!$E29=predictwithfallbackConfidences!$B29,1,0),IF(predictwithfallbackConfidences!$E29=Sheet1!C$2,1,0))</f>
        <v>0</v>
      </c>
      <c r="D29" t="b">
        <f>AND(IF(predictwithfallbackConfidences!$E29=predictwithfallbackConfidences!$B29,1,0),IF(predictwithfallbackConfidences!$E29=Sheet1!D$2,1,0))</f>
        <v>1</v>
      </c>
      <c r="F29" t="b">
        <f>AND(IF(predictwithfallbackConfidences!$E29=predictwithfallbackConfidences!$B29,0,1),IF(predictwithfallbackConfidences!$E29=Sheet1!A$2,1,0))</f>
        <v>0</v>
      </c>
      <c r="G29" t="b">
        <f>AND(IF(predictwithfallbackConfidences!$E29=predictwithfallbackConfidences!$B29,0,1),IF(predictwithfallbackConfidences!$E29=Sheet1!B$2,1,0))</f>
        <v>0</v>
      </c>
      <c r="H29" t="b">
        <f>AND(IF(predictwithfallbackConfidences!$E29=predictwithfallbackConfidences!$B29,0,1),IF(predictwithfallbackConfidences!$E29=Sheet1!C$2,1,0))</f>
        <v>0</v>
      </c>
      <c r="I29" t="b">
        <f>AND(IF(predictwithfallbackConfidences!$E29=predictwithfallbackConfidences!$B29,0,1),IF(predictwithfallbackConfidences!$E29=Sheet1!D$2,1,0))</f>
        <v>0</v>
      </c>
      <c r="K29" t="b">
        <f>AND(IF(predictwithfallbackConfidences!$E29=predictwithfallbackConfidences!$B29,0,1),IF(predictwithfallbackConfidences!$B29=Sheet1!A$2,1,0))</f>
        <v>0</v>
      </c>
      <c r="L29" t="b">
        <f>AND(IF(predictwithfallbackConfidences!$E29=predictwithfallbackConfidences!$B29,0,1),IF(predictwithfallbackConfidences!$B29=Sheet1!B$2,1,0))</f>
        <v>0</v>
      </c>
      <c r="M29" t="b">
        <f>AND(IF(predictwithfallbackConfidences!$E29=predictwithfallbackConfidences!$B29,0,1),IF(predictwithfallbackConfidences!$B29=Sheet1!C$2,1,0))</f>
        <v>0</v>
      </c>
      <c r="N29" t="b">
        <f>AND(IF(predictwithfallbackConfidences!$E29=predictwithfallbackConfidences!$B29,0,1),IF(predictwithfallbackConfidences!$B29=Sheet1!D$2,1,0))</f>
        <v>0</v>
      </c>
      <c r="Q29" t="b">
        <f>AND(IF(predictwithfallbackConfidences!$F29=predictwithfallbackConfidences!$B29,1,0),IF(predictwithfallbackConfidences!$F29=Sheet1!A$2,1,0))</f>
        <v>0</v>
      </c>
      <c r="R29" t="b">
        <f>AND(IF(predictwithfallbackConfidences!$F29=predictwithfallbackConfidences!$B29,1,0),IF(predictwithfallbackConfidences!$F29=Sheet1!B$2,1,0))</f>
        <v>0</v>
      </c>
      <c r="S29" t="b">
        <f>AND(IF(predictwithfallbackConfidences!$F29=predictwithfallbackConfidences!$B29,1,0),IF(predictwithfallbackConfidences!$F29=Sheet1!C$2,1,0))</f>
        <v>0</v>
      </c>
      <c r="T29" t="b">
        <f>AND(IF(predictwithfallbackConfidences!$F29=predictwithfallbackConfidences!$B29,1,0),IF(predictwithfallbackConfidences!$F29=Sheet1!D$2,1,0))</f>
        <v>1</v>
      </c>
      <c r="V29" t="b">
        <f>AND(IF(predictwithfallbackConfidences!$F29=predictwithfallbackConfidences!$B29,0,1),IF(predictwithfallbackConfidences!$F29=Sheet1!A$2,1,0))</f>
        <v>0</v>
      </c>
      <c r="W29" t="b">
        <f>AND(IF(predictwithfallbackConfidences!$F29=predictwithfallbackConfidences!$B29,0,1),IF(predictwithfallbackConfidences!$F29=Sheet1!B$2,1,0))</f>
        <v>0</v>
      </c>
      <c r="X29" t="b">
        <f>AND(IF(predictwithfallbackConfidences!$F29=predictwithfallbackConfidences!$B29,0,1),IF(predictwithfallbackConfidences!$F29=Sheet1!C$2,1,0))</f>
        <v>0</v>
      </c>
      <c r="Y29" t="b">
        <f>AND(IF(predictwithfallbackConfidences!$F29=predictwithfallbackConfidences!$B29,0,1),IF(predictwithfallbackConfidences!$F29=Sheet1!D$2,1,0))</f>
        <v>0</v>
      </c>
      <c r="AA29" t="b">
        <f>AND(IF(predictwithfallbackConfidences!$F29=predictwithfallbackConfidences!$B29,0,1),IF(predictwithfallbackConfidences!$B29=Sheet1!A$2,1,0))</f>
        <v>0</v>
      </c>
      <c r="AB29" t="b">
        <f>AND(IF(predictwithfallbackConfidences!$F29=predictwithfallbackConfidences!$B29,0,1),IF(predictwithfallbackConfidences!$B29=Sheet1!B$2,1,0))</f>
        <v>0</v>
      </c>
      <c r="AC29" t="b">
        <f>AND(IF(predictwithfallbackConfidences!$F29=predictwithfallbackConfidences!$B29,0,1),IF(predictwithfallbackConfidences!$B29=Sheet1!C$2,1,0))</f>
        <v>0</v>
      </c>
      <c r="AD29" t="b">
        <f>AND(IF(predictwithfallbackConfidences!$F29=predictwithfallbackConfidences!$B29,0,1),IF(predictwithfallbackConfidences!$B29=Sheet1!D$2,1,0))</f>
        <v>0</v>
      </c>
    </row>
    <row r="30" spans="1:30" x14ac:dyDescent="0.25">
      <c r="A30" t="b">
        <f>AND(IF(predictwithfallbackConfidences!$E30=predictwithfallbackConfidences!$B30,1,0),IF(predictwithfallbackConfidences!$E30=Sheet1!A$2,1,0))</f>
        <v>0</v>
      </c>
      <c r="B30" t="b">
        <f>AND(IF(predictwithfallbackConfidences!$E30=predictwithfallbackConfidences!$B30,1,0),IF(predictwithfallbackConfidences!$E30=Sheet1!B$2,1,0))</f>
        <v>0</v>
      </c>
      <c r="C30" t="b">
        <f>AND(IF(predictwithfallbackConfidences!$E30=predictwithfallbackConfidences!$B30,1,0),IF(predictwithfallbackConfidences!$E30=Sheet1!C$2,1,0))</f>
        <v>0</v>
      </c>
      <c r="D30" t="b">
        <f>AND(IF(predictwithfallbackConfidences!$E30=predictwithfallbackConfidences!$B30,1,0),IF(predictwithfallbackConfidences!$E30=Sheet1!D$2,1,0))</f>
        <v>0</v>
      </c>
      <c r="F30" t="b">
        <f>AND(IF(predictwithfallbackConfidences!$E30=predictwithfallbackConfidences!$B30,0,1),IF(predictwithfallbackConfidences!$E30=Sheet1!A$2,1,0))</f>
        <v>1</v>
      </c>
      <c r="G30" t="b">
        <f>AND(IF(predictwithfallbackConfidences!$E30=predictwithfallbackConfidences!$B30,0,1),IF(predictwithfallbackConfidences!$E30=Sheet1!B$2,1,0))</f>
        <v>0</v>
      </c>
      <c r="H30" t="b">
        <f>AND(IF(predictwithfallbackConfidences!$E30=predictwithfallbackConfidences!$B30,0,1),IF(predictwithfallbackConfidences!$E30=Sheet1!C$2,1,0))</f>
        <v>0</v>
      </c>
      <c r="I30" t="b">
        <f>AND(IF(predictwithfallbackConfidences!$E30=predictwithfallbackConfidences!$B30,0,1),IF(predictwithfallbackConfidences!$E30=Sheet1!D$2,1,0))</f>
        <v>0</v>
      </c>
      <c r="K30" t="b">
        <f>AND(IF(predictwithfallbackConfidences!$E30=predictwithfallbackConfidences!$B30,0,1),IF(predictwithfallbackConfidences!$B30=Sheet1!A$2,1,0))</f>
        <v>0</v>
      </c>
      <c r="L30" t="b">
        <f>AND(IF(predictwithfallbackConfidences!$E30=predictwithfallbackConfidences!$B30,0,1),IF(predictwithfallbackConfidences!$B30=Sheet1!B$2,1,0))</f>
        <v>0</v>
      </c>
      <c r="M30" t="b">
        <f>AND(IF(predictwithfallbackConfidences!$E30=predictwithfallbackConfidences!$B30,0,1),IF(predictwithfallbackConfidences!$B30=Sheet1!C$2,1,0))</f>
        <v>0</v>
      </c>
      <c r="N30" t="b">
        <f>AND(IF(predictwithfallbackConfidences!$E30=predictwithfallbackConfidences!$B30,0,1),IF(predictwithfallbackConfidences!$B30=Sheet1!D$2,1,0))</f>
        <v>1</v>
      </c>
      <c r="Q30" t="b">
        <f>AND(IF(predictwithfallbackConfidences!$F30=predictwithfallbackConfidences!$B30,1,0),IF(predictwithfallbackConfidences!$F30=Sheet1!A$2,1,0))</f>
        <v>0</v>
      </c>
      <c r="R30" t="b">
        <f>AND(IF(predictwithfallbackConfidences!$F30=predictwithfallbackConfidences!$B30,1,0),IF(predictwithfallbackConfidences!$F30=Sheet1!B$2,1,0))</f>
        <v>0</v>
      </c>
      <c r="S30" t="b">
        <f>AND(IF(predictwithfallbackConfidences!$F30=predictwithfallbackConfidences!$B30,1,0),IF(predictwithfallbackConfidences!$F30=Sheet1!C$2,1,0))</f>
        <v>0</v>
      </c>
      <c r="T30" t="b">
        <f>AND(IF(predictwithfallbackConfidences!$F30=predictwithfallbackConfidences!$B30,1,0),IF(predictwithfallbackConfidences!$F30=Sheet1!D$2,1,0))</f>
        <v>1</v>
      </c>
      <c r="V30" t="b">
        <f>AND(IF(predictwithfallbackConfidences!$F30=predictwithfallbackConfidences!$B30,0,1),IF(predictwithfallbackConfidences!$F30=Sheet1!A$2,1,0))</f>
        <v>0</v>
      </c>
      <c r="W30" t="b">
        <f>AND(IF(predictwithfallbackConfidences!$F30=predictwithfallbackConfidences!$B30,0,1),IF(predictwithfallbackConfidences!$F30=Sheet1!B$2,1,0))</f>
        <v>0</v>
      </c>
      <c r="X30" t="b">
        <f>AND(IF(predictwithfallbackConfidences!$F30=predictwithfallbackConfidences!$B30,0,1),IF(predictwithfallbackConfidences!$F30=Sheet1!C$2,1,0))</f>
        <v>0</v>
      </c>
      <c r="Y30" t="b">
        <f>AND(IF(predictwithfallbackConfidences!$F30=predictwithfallbackConfidences!$B30,0,1),IF(predictwithfallbackConfidences!$F30=Sheet1!D$2,1,0))</f>
        <v>0</v>
      </c>
      <c r="AA30" t="b">
        <f>AND(IF(predictwithfallbackConfidences!$F30=predictwithfallbackConfidences!$B30,0,1),IF(predictwithfallbackConfidences!$B30=Sheet1!A$2,1,0))</f>
        <v>0</v>
      </c>
      <c r="AB30" t="b">
        <f>AND(IF(predictwithfallbackConfidences!$F30=predictwithfallbackConfidences!$B30,0,1),IF(predictwithfallbackConfidences!$B30=Sheet1!B$2,1,0))</f>
        <v>0</v>
      </c>
      <c r="AC30" t="b">
        <f>AND(IF(predictwithfallbackConfidences!$F30=predictwithfallbackConfidences!$B30,0,1),IF(predictwithfallbackConfidences!$B30=Sheet1!C$2,1,0))</f>
        <v>0</v>
      </c>
      <c r="AD30" t="b">
        <f>AND(IF(predictwithfallbackConfidences!$F30=predictwithfallbackConfidences!$B30,0,1),IF(predictwithfallbackConfidences!$B30=Sheet1!D$2,1,0))</f>
        <v>0</v>
      </c>
    </row>
    <row r="31" spans="1:30" x14ac:dyDescent="0.25">
      <c r="A31" t="b">
        <f>AND(IF(predictwithfallbackConfidences!$E31=predictwithfallbackConfidences!$B31,1,0),IF(predictwithfallbackConfidences!$E31=Sheet1!A$2,1,0))</f>
        <v>0</v>
      </c>
      <c r="B31" t="b">
        <f>AND(IF(predictwithfallbackConfidences!$E31=predictwithfallbackConfidences!$B31,1,0),IF(predictwithfallbackConfidences!$E31=Sheet1!B$2,1,0))</f>
        <v>0</v>
      </c>
      <c r="C31" t="b">
        <f>AND(IF(predictwithfallbackConfidences!$E31=predictwithfallbackConfidences!$B31,1,0),IF(predictwithfallbackConfidences!$E31=Sheet1!C$2,1,0))</f>
        <v>0</v>
      </c>
      <c r="D31" t="b">
        <f>AND(IF(predictwithfallbackConfidences!$E31=predictwithfallbackConfidences!$B31,1,0),IF(predictwithfallbackConfidences!$E31=Sheet1!D$2,1,0))</f>
        <v>1</v>
      </c>
      <c r="F31" t="b">
        <f>AND(IF(predictwithfallbackConfidences!$E31=predictwithfallbackConfidences!$B31,0,1),IF(predictwithfallbackConfidences!$E31=Sheet1!A$2,1,0))</f>
        <v>0</v>
      </c>
      <c r="G31" t="b">
        <f>AND(IF(predictwithfallbackConfidences!$E31=predictwithfallbackConfidences!$B31,0,1),IF(predictwithfallbackConfidences!$E31=Sheet1!B$2,1,0))</f>
        <v>0</v>
      </c>
      <c r="H31" t="b">
        <f>AND(IF(predictwithfallbackConfidences!$E31=predictwithfallbackConfidences!$B31,0,1),IF(predictwithfallbackConfidences!$E31=Sheet1!C$2,1,0))</f>
        <v>0</v>
      </c>
      <c r="I31" t="b">
        <f>AND(IF(predictwithfallbackConfidences!$E31=predictwithfallbackConfidences!$B31,0,1),IF(predictwithfallbackConfidences!$E31=Sheet1!D$2,1,0))</f>
        <v>0</v>
      </c>
      <c r="K31" t="b">
        <f>AND(IF(predictwithfallbackConfidences!$E31=predictwithfallbackConfidences!$B31,0,1),IF(predictwithfallbackConfidences!$B31=Sheet1!A$2,1,0))</f>
        <v>0</v>
      </c>
      <c r="L31" t="b">
        <f>AND(IF(predictwithfallbackConfidences!$E31=predictwithfallbackConfidences!$B31,0,1),IF(predictwithfallbackConfidences!$B31=Sheet1!B$2,1,0))</f>
        <v>0</v>
      </c>
      <c r="M31" t="b">
        <f>AND(IF(predictwithfallbackConfidences!$E31=predictwithfallbackConfidences!$B31,0,1),IF(predictwithfallbackConfidences!$B31=Sheet1!C$2,1,0))</f>
        <v>0</v>
      </c>
      <c r="N31" t="b">
        <f>AND(IF(predictwithfallbackConfidences!$E31=predictwithfallbackConfidences!$B31,0,1),IF(predictwithfallbackConfidences!$B31=Sheet1!D$2,1,0))</f>
        <v>0</v>
      </c>
      <c r="Q31" t="b">
        <f>AND(IF(predictwithfallbackConfidences!$F31=predictwithfallbackConfidences!$B31,1,0),IF(predictwithfallbackConfidences!$F31=Sheet1!A$2,1,0))</f>
        <v>0</v>
      </c>
      <c r="R31" t="b">
        <f>AND(IF(predictwithfallbackConfidences!$F31=predictwithfallbackConfidences!$B31,1,0),IF(predictwithfallbackConfidences!$F31=Sheet1!B$2,1,0))</f>
        <v>0</v>
      </c>
      <c r="S31" t="b">
        <f>AND(IF(predictwithfallbackConfidences!$F31=predictwithfallbackConfidences!$B31,1,0),IF(predictwithfallbackConfidences!$F31=Sheet1!C$2,1,0))</f>
        <v>0</v>
      </c>
      <c r="T31" t="b">
        <f>AND(IF(predictwithfallbackConfidences!$F31=predictwithfallbackConfidences!$B31,1,0),IF(predictwithfallbackConfidences!$F31=Sheet1!D$2,1,0))</f>
        <v>1</v>
      </c>
      <c r="V31" t="b">
        <f>AND(IF(predictwithfallbackConfidences!$F31=predictwithfallbackConfidences!$B31,0,1),IF(predictwithfallbackConfidences!$F31=Sheet1!A$2,1,0))</f>
        <v>0</v>
      </c>
      <c r="W31" t="b">
        <f>AND(IF(predictwithfallbackConfidences!$F31=predictwithfallbackConfidences!$B31,0,1),IF(predictwithfallbackConfidences!$F31=Sheet1!B$2,1,0))</f>
        <v>0</v>
      </c>
      <c r="X31" t="b">
        <f>AND(IF(predictwithfallbackConfidences!$F31=predictwithfallbackConfidences!$B31,0,1),IF(predictwithfallbackConfidences!$F31=Sheet1!C$2,1,0))</f>
        <v>0</v>
      </c>
      <c r="Y31" t="b">
        <f>AND(IF(predictwithfallbackConfidences!$F31=predictwithfallbackConfidences!$B31,0,1),IF(predictwithfallbackConfidences!$F31=Sheet1!D$2,1,0))</f>
        <v>0</v>
      </c>
      <c r="AA31" t="b">
        <f>AND(IF(predictwithfallbackConfidences!$F31=predictwithfallbackConfidences!$B31,0,1),IF(predictwithfallbackConfidences!$B31=Sheet1!A$2,1,0))</f>
        <v>0</v>
      </c>
      <c r="AB31" t="b">
        <f>AND(IF(predictwithfallbackConfidences!$F31=predictwithfallbackConfidences!$B31,0,1),IF(predictwithfallbackConfidences!$B31=Sheet1!B$2,1,0))</f>
        <v>0</v>
      </c>
      <c r="AC31" t="b">
        <f>AND(IF(predictwithfallbackConfidences!$F31=predictwithfallbackConfidences!$B31,0,1),IF(predictwithfallbackConfidences!$B31=Sheet1!C$2,1,0))</f>
        <v>0</v>
      </c>
      <c r="AD31" t="b">
        <f>AND(IF(predictwithfallbackConfidences!$F31=predictwithfallbackConfidences!$B31,0,1),IF(predictwithfallbackConfidences!$B31=Sheet1!D$2,1,0))</f>
        <v>0</v>
      </c>
    </row>
    <row r="32" spans="1:30" x14ac:dyDescent="0.25">
      <c r="A32" t="b">
        <f>AND(IF(predictwithfallbackConfidences!$E32=predictwithfallbackConfidences!$B32,1,0),IF(predictwithfallbackConfidences!$E32=Sheet1!A$2,1,0))</f>
        <v>0</v>
      </c>
      <c r="B32" t="b">
        <f>AND(IF(predictwithfallbackConfidences!$E32=predictwithfallbackConfidences!$B32,1,0),IF(predictwithfallbackConfidences!$E32=Sheet1!B$2,1,0))</f>
        <v>0</v>
      </c>
      <c r="C32" t="b">
        <f>AND(IF(predictwithfallbackConfidences!$E32=predictwithfallbackConfidences!$B32,1,0),IF(predictwithfallbackConfidences!$E32=Sheet1!C$2,1,0))</f>
        <v>0</v>
      </c>
      <c r="D32" t="b">
        <f>AND(IF(predictwithfallbackConfidences!$E32=predictwithfallbackConfidences!$B32,1,0),IF(predictwithfallbackConfidences!$E32=Sheet1!D$2,1,0))</f>
        <v>1</v>
      </c>
      <c r="F32" t="b">
        <f>AND(IF(predictwithfallbackConfidences!$E32=predictwithfallbackConfidences!$B32,0,1),IF(predictwithfallbackConfidences!$E32=Sheet1!A$2,1,0))</f>
        <v>0</v>
      </c>
      <c r="G32" t="b">
        <f>AND(IF(predictwithfallbackConfidences!$E32=predictwithfallbackConfidences!$B32,0,1),IF(predictwithfallbackConfidences!$E32=Sheet1!B$2,1,0))</f>
        <v>0</v>
      </c>
      <c r="H32" t="b">
        <f>AND(IF(predictwithfallbackConfidences!$E32=predictwithfallbackConfidences!$B32,0,1),IF(predictwithfallbackConfidences!$E32=Sheet1!C$2,1,0))</f>
        <v>0</v>
      </c>
      <c r="I32" t="b">
        <f>AND(IF(predictwithfallbackConfidences!$E32=predictwithfallbackConfidences!$B32,0,1),IF(predictwithfallbackConfidences!$E32=Sheet1!D$2,1,0))</f>
        <v>0</v>
      </c>
      <c r="K32" t="b">
        <f>AND(IF(predictwithfallbackConfidences!$E32=predictwithfallbackConfidences!$B32,0,1),IF(predictwithfallbackConfidences!$B32=Sheet1!A$2,1,0))</f>
        <v>0</v>
      </c>
      <c r="L32" t="b">
        <f>AND(IF(predictwithfallbackConfidences!$E32=predictwithfallbackConfidences!$B32,0,1),IF(predictwithfallbackConfidences!$B32=Sheet1!B$2,1,0))</f>
        <v>0</v>
      </c>
      <c r="M32" t="b">
        <f>AND(IF(predictwithfallbackConfidences!$E32=predictwithfallbackConfidences!$B32,0,1),IF(predictwithfallbackConfidences!$B32=Sheet1!C$2,1,0))</f>
        <v>0</v>
      </c>
      <c r="N32" t="b">
        <f>AND(IF(predictwithfallbackConfidences!$E32=predictwithfallbackConfidences!$B32,0,1),IF(predictwithfallbackConfidences!$B32=Sheet1!D$2,1,0))</f>
        <v>0</v>
      </c>
      <c r="Q32" t="b">
        <f>AND(IF(predictwithfallbackConfidences!$F32=predictwithfallbackConfidences!$B32,1,0),IF(predictwithfallbackConfidences!$F32=Sheet1!A$2,1,0))</f>
        <v>0</v>
      </c>
      <c r="R32" t="b">
        <f>AND(IF(predictwithfallbackConfidences!$F32=predictwithfallbackConfidences!$B32,1,0),IF(predictwithfallbackConfidences!$F32=Sheet1!B$2,1,0))</f>
        <v>0</v>
      </c>
      <c r="S32" t="b">
        <f>AND(IF(predictwithfallbackConfidences!$F32=predictwithfallbackConfidences!$B32,1,0),IF(predictwithfallbackConfidences!$F32=Sheet1!C$2,1,0))</f>
        <v>0</v>
      </c>
      <c r="T32" t="b">
        <f>AND(IF(predictwithfallbackConfidences!$F32=predictwithfallbackConfidences!$B32,1,0),IF(predictwithfallbackConfidences!$F32=Sheet1!D$2,1,0))</f>
        <v>1</v>
      </c>
      <c r="V32" t="b">
        <f>AND(IF(predictwithfallbackConfidences!$F32=predictwithfallbackConfidences!$B32,0,1),IF(predictwithfallbackConfidences!$F32=Sheet1!A$2,1,0))</f>
        <v>0</v>
      </c>
      <c r="W32" t="b">
        <f>AND(IF(predictwithfallbackConfidences!$F32=predictwithfallbackConfidences!$B32,0,1),IF(predictwithfallbackConfidences!$F32=Sheet1!B$2,1,0))</f>
        <v>0</v>
      </c>
      <c r="X32" t="b">
        <f>AND(IF(predictwithfallbackConfidences!$F32=predictwithfallbackConfidences!$B32,0,1),IF(predictwithfallbackConfidences!$F32=Sheet1!C$2,1,0))</f>
        <v>0</v>
      </c>
      <c r="Y32" t="b">
        <f>AND(IF(predictwithfallbackConfidences!$F32=predictwithfallbackConfidences!$B32,0,1),IF(predictwithfallbackConfidences!$F32=Sheet1!D$2,1,0))</f>
        <v>0</v>
      </c>
      <c r="AA32" t="b">
        <f>AND(IF(predictwithfallbackConfidences!$F32=predictwithfallbackConfidences!$B32,0,1),IF(predictwithfallbackConfidences!$B32=Sheet1!A$2,1,0))</f>
        <v>0</v>
      </c>
      <c r="AB32" t="b">
        <f>AND(IF(predictwithfallbackConfidences!$F32=predictwithfallbackConfidences!$B32,0,1),IF(predictwithfallbackConfidences!$B32=Sheet1!B$2,1,0))</f>
        <v>0</v>
      </c>
      <c r="AC32" t="b">
        <f>AND(IF(predictwithfallbackConfidences!$F32=predictwithfallbackConfidences!$B32,0,1),IF(predictwithfallbackConfidences!$B32=Sheet1!C$2,1,0))</f>
        <v>0</v>
      </c>
      <c r="AD32" t="b">
        <f>AND(IF(predictwithfallbackConfidences!$F32=predictwithfallbackConfidences!$B32,0,1),IF(predictwithfallbackConfidences!$B32=Sheet1!D$2,1,0))</f>
        <v>0</v>
      </c>
    </row>
    <row r="33" spans="1:30" x14ac:dyDescent="0.25">
      <c r="A33" t="b">
        <f>AND(IF(predictwithfallbackConfidences!$E33=predictwithfallbackConfidences!$B33,1,0),IF(predictwithfallbackConfidences!$E33=Sheet1!A$2,1,0))</f>
        <v>0</v>
      </c>
      <c r="B33" t="b">
        <f>AND(IF(predictwithfallbackConfidences!$E33=predictwithfallbackConfidences!$B33,1,0),IF(predictwithfallbackConfidences!$E33=Sheet1!B$2,1,0))</f>
        <v>1</v>
      </c>
      <c r="C33" t="b">
        <f>AND(IF(predictwithfallbackConfidences!$E33=predictwithfallbackConfidences!$B33,1,0),IF(predictwithfallbackConfidences!$E33=Sheet1!C$2,1,0))</f>
        <v>0</v>
      </c>
      <c r="D33" t="b">
        <f>AND(IF(predictwithfallbackConfidences!$E33=predictwithfallbackConfidences!$B33,1,0),IF(predictwithfallbackConfidences!$E33=Sheet1!D$2,1,0))</f>
        <v>0</v>
      </c>
      <c r="F33" t="b">
        <f>AND(IF(predictwithfallbackConfidences!$E33=predictwithfallbackConfidences!$B33,0,1),IF(predictwithfallbackConfidences!$E33=Sheet1!A$2,1,0))</f>
        <v>0</v>
      </c>
      <c r="G33" t="b">
        <f>AND(IF(predictwithfallbackConfidences!$E33=predictwithfallbackConfidences!$B33,0,1),IF(predictwithfallbackConfidences!$E33=Sheet1!B$2,1,0))</f>
        <v>0</v>
      </c>
      <c r="H33" t="b">
        <f>AND(IF(predictwithfallbackConfidences!$E33=predictwithfallbackConfidences!$B33,0,1),IF(predictwithfallbackConfidences!$E33=Sheet1!C$2,1,0))</f>
        <v>0</v>
      </c>
      <c r="I33" t="b">
        <f>AND(IF(predictwithfallbackConfidences!$E33=predictwithfallbackConfidences!$B33,0,1),IF(predictwithfallbackConfidences!$E33=Sheet1!D$2,1,0))</f>
        <v>0</v>
      </c>
      <c r="K33" t="b">
        <f>AND(IF(predictwithfallbackConfidences!$E33=predictwithfallbackConfidences!$B33,0,1),IF(predictwithfallbackConfidences!$B33=Sheet1!A$2,1,0))</f>
        <v>0</v>
      </c>
      <c r="L33" t="b">
        <f>AND(IF(predictwithfallbackConfidences!$E33=predictwithfallbackConfidences!$B33,0,1),IF(predictwithfallbackConfidences!$B33=Sheet1!B$2,1,0))</f>
        <v>0</v>
      </c>
      <c r="M33" t="b">
        <f>AND(IF(predictwithfallbackConfidences!$E33=predictwithfallbackConfidences!$B33,0,1),IF(predictwithfallbackConfidences!$B33=Sheet1!C$2,1,0))</f>
        <v>0</v>
      </c>
      <c r="N33" t="b">
        <f>AND(IF(predictwithfallbackConfidences!$E33=predictwithfallbackConfidences!$B33,0,1),IF(predictwithfallbackConfidences!$B33=Sheet1!D$2,1,0))</f>
        <v>0</v>
      </c>
      <c r="Q33" t="b">
        <f>AND(IF(predictwithfallbackConfidences!$F33=predictwithfallbackConfidences!$B33,1,0),IF(predictwithfallbackConfidences!$F33=Sheet1!A$2,1,0))</f>
        <v>0</v>
      </c>
      <c r="R33" t="b">
        <f>AND(IF(predictwithfallbackConfidences!$F33=predictwithfallbackConfidences!$B33,1,0),IF(predictwithfallbackConfidences!$F33=Sheet1!B$2,1,0))</f>
        <v>1</v>
      </c>
      <c r="S33" t="b">
        <f>AND(IF(predictwithfallbackConfidences!$F33=predictwithfallbackConfidences!$B33,1,0),IF(predictwithfallbackConfidences!$F33=Sheet1!C$2,1,0))</f>
        <v>0</v>
      </c>
      <c r="T33" t="b">
        <f>AND(IF(predictwithfallbackConfidences!$F33=predictwithfallbackConfidences!$B33,1,0),IF(predictwithfallbackConfidences!$F33=Sheet1!D$2,1,0))</f>
        <v>0</v>
      </c>
      <c r="V33" t="b">
        <f>AND(IF(predictwithfallbackConfidences!$F33=predictwithfallbackConfidences!$B33,0,1),IF(predictwithfallbackConfidences!$F33=Sheet1!A$2,1,0))</f>
        <v>0</v>
      </c>
      <c r="W33" t="b">
        <f>AND(IF(predictwithfallbackConfidences!$F33=predictwithfallbackConfidences!$B33,0,1),IF(predictwithfallbackConfidences!$F33=Sheet1!B$2,1,0))</f>
        <v>0</v>
      </c>
      <c r="X33" t="b">
        <f>AND(IF(predictwithfallbackConfidences!$F33=predictwithfallbackConfidences!$B33,0,1),IF(predictwithfallbackConfidences!$F33=Sheet1!C$2,1,0))</f>
        <v>0</v>
      </c>
      <c r="Y33" t="b">
        <f>AND(IF(predictwithfallbackConfidences!$F33=predictwithfallbackConfidences!$B33,0,1),IF(predictwithfallbackConfidences!$F33=Sheet1!D$2,1,0))</f>
        <v>0</v>
      </c>
      <c r="AA33" t="b">
        <f>AND(IF(predictwithfallbackConfidences!$F33=predictwithfallbackConfidences!$B33,0,1),IF(predictwithfallbackConfidences!$B33=Sheet1!A$2,1,0))</f>
        <v>0</v>
      </c>
      <c r="AB33" t="b">
        <f>AND(IF(predictwithfallbackConfidences!$F33=predictwithfallbackConfidences!$B33,0,1),IF(predictwithfallbackConfidences!$B33=Sheet1!B$2,1,0))</f>
        <v>0</v>
      </c>
      <c r="AC33" t="b">
        <f>AND(IF(predictwithfallbackConfidences!$F33=predictwithfallbackConfidences!$B33,0,1),IF(predictwithfallbackConfidences!$B33=Sheet1!C$2,1,0))</f>
        <v>0</v>
      </c>
      <c r="AD33" t="b">
        <f>AND(IF(predictwithfallbackConfidences!$F33=predictwithfallbackConfidences!$B33,0,1),IF(predictwithfallbackConfidences!$B33=Sheet1!D$2,1,0))</f>
        <v>0</v>
      </c>
    </row>
    <row r="34" spans="1:30" x14ac:dyDescent="0.25">
      <c r="A34" t="b">
        <f>AND(IF(predictwithfallbackConfidences!$E34=predictwithfallbackConfidences!$B34,1,0),IF(predictwithfallbackConfidences!$E34=Sheet1!A$2,1,0))</f>
        <v>0</v>
      </c>
      <c r="B34" t="b">
        <f>AND(IF(predictwithfallbackConfidences!$E34=predictwithfallbackConfidences!$B34,1,0),IF(predictwithfallbackConfidences!$E34=Sheet1!B$2,1,0))</f>
        <v>1</v>
      </c>
      <c r="C34" t="b">
        <f>AND(IF(predictwithfallbackConfidences!$E34=predictwithfallbackConfidences!$B34,1,0),IF(predictwithfallbackConfidences!$E34=Sheet1!C$2,1,0))</f>
        <v>0</v>
      </c>
      <c r="D34" t="b">
        <f>AND(IF(predictwithfallbackConfidences!$E34=predictwithfallbackConfidences!$B34,1,0),IF(predictwithfallbackConfidences!$E34=Sheet1!D$2,1,0))</f>
        <v>0</v>
      </c>
      <c r="F34" t="b">
        <f>AND(IF(predictwithfallbackConfidences!$E34=predictwithfallbackConfidences!$B34,0,1),IF(predictwithfallbackConfidences!$E34=Sheet1!A$2,1,0))</f>
        <v>0</v>
      </c>
      <c r="G34" t="b">
        <f>AND(IF(predictwithfallbackConfidences!$E34=predictwithfallbackConfidences!$B34,0,1),IF(predictwithfallbackConfidences!$E34=Sheet1!B$2,1,0))</f>
        <v>0</v>
      </c>
      <c r="H34" t="b">
        <f>AND(IF(predictwithfallbackConfidences!$E34=predictwithfallbackConfidences!$B34,0,1),IF(predictwithfallbackConfidences!$E34=Sheet1!C$2,1,0))</f>
        <v>0</v>
      </c>
      <c r="I34" t="b">
        <f>AND(IF(predictwithfallbackConfidences!$E34=predictwithfallbackConfidences!$B34,0,1),IF(predictwithfallbackConfidences!$E34=Sheet1!D$2,1,0))</f>
        <v>0</v>
      </c>
      <c r="K34" t="b">
        <f>AND(IF(predictwithfallbackConfidences!$E34=predictwithfallbackConfidences!$B34,0,1),IF(predictwithfallbackConfidences!$B34=Sheet1!A$2,1,0))</f>
        <v>0</v>
      </c>
      <c r="L34" t="b">
        <f>AND(IF(predictwithfallbackConfidences!$E34=predictwithfallbackConfidences!$B34,0,1),IF(predictwithfallbackConfidences!$B34=Sheet1!B$2,1,0))</f>
        <v>0</v>
      </c>
      <c r="M34" t="b">
        <f>AND(IF(predictwithfallbackConfidences!$E34=predictwithfallbackConfidences!$B34,0,1),IF(predictwithfallbackConfidences!$B34=Sheet1!C$2,1,0))</f>
        <v>0</v>
      </c>
      <c r="N34" t="b">
        <f>AND(IF(predictwithfallbackConfidences!$E34=predictwithfallbackConfidences!$B34,0,1),IF(predictwithfallbackConfidences!$B34=Sheet1!D$2,1,0))</f>
        <v>0</v>
      </c>
      <c r="Q34" t="b">
        <f>AND(IF(predictwithfallbackConfidences!$F34=predictwithfallbackConfidences!$B34,1,0),IF(predictwithfallbackConfidences!$F34=Sheet1!A$2,1,0))</f>
        <v>0</v>
      </c>
      <c r="R34" t="b">
        <f>AND(IF(predictwithfallbackConfidences!$F34=predictwithfallbackConfidences!$B34,1,0),IF(predictwithfallbackConfidences!$F34=Sheet1!B$2,1,0))</f>
        <v>1</v>
      </c>
      <c r="S34" t="b">
        <f>AND(IF(predictwithfallbackConfidences!$F34=predictwithfallbackConfidences!$B34,1,0),IF(predictwithfallbackConfidences!$F34=Sheet1!C$2,1,0))</f>
        <v>0</v>
      </c>
      <c r="T34" t="b">
        <f>AND(IF(predictwithfallbackConfidences!$F34=predictwithfallbackConfidences!$B34,1,0),IF(predictwithfallbackConfidences!$F34=Sheet1!D$2,1,0))</f>
        <v>0</v>
      </c>
      <c r="V34" t="b">
        <f>AND(IF(predictwithfallbackConfidences!$F34=predictwithfallbackConfidences!$B34,0,1),IF(predictwithfallbackConfidences!$F34=Sheet1!A$2,1,0))</f>
        <v>0</v>
      </c>
      <c r="W34" t="b">
        <f>AND(IF(predictwithfallbackConfidences!$F34=predictwithfallbackConfidences!$B34,0,1),IF(predictwithfallbackConfidences!$F34=Sheet1!B$2,1,0))</f>
        <v>0</v>
      </c>
      <c r="X34" t="b">
        <f>AND(IF(predictwithfallbackConfidences!$F34=predictwithfallbackConfidences!$B34,0,1),IF(predictwithfallbackConfidences!$F34=Sheet1!C$2,1,0))</f>
        <v>0</v>
      </c>
      <c r="Y34" t="b">
        <f>AND(IF(predictwithfallbackConfidences!$F34=predictwithfallbackConfidences!$B34,0,1),IF(predictwithfallbackConfidences!$F34=Sheet1!D$2,1,0))</f>
        <v>0</v>
      </c>
      <c r="AA34" t="b">
        <f>AND(IF(predictwithfallbackConfidences!$F34=predictwithfallbackConfidences!$B34,0,1),IF(predictwithfallbackConfidences!$B34=Sheet1!A$2,1,0))</f>
        <v>0</v>
      </c>
      <c r="AB34" t="b">
        <f>AND(IF(predictwithfallbackConfidences!$F34=predictwithfallbackConfidences!$B34,0,1),IF(predictwithfallbackConfidences!$B34=Sheet1!B$2,1,0))</f>
        <v>0</v>
      </c>
      <c r="AC34" t="b">
        <f>AND(IF(predictwithfallbackConfidences!$F34=predictwithfallbackConfidences!$B34,0,1),IF(predictwithfallbackConfidences!$B34=Sheet1!C$2,1,0))</f>
        <v>0</v>
      </c>
      <c r="AD34" t="b">
        <f>AND(IF(predictwithfallbackConfidences!$F34=predictwithfallbackConfidences!$B34,0,1),IF(predictwithfallbackConfidences!$B34=Sheet1!D$2,1,0))</f>
        <v>0</v>
      </c>
    </row>
    <row r="35" spans="1:30" x14ac:dyDescent="0.25">
      <c r="A35" t="b">
        <f>AND(IF(predictwithfallbackConfidences!$E35=predictwithfallbackConfidences!$B35,1,0),IF(predictwithfallbackConfidences!$E35=Sheet1!A$2,1,0))</f>
        <v>0</v>
      </c>
      <c r="B35" t="b">
        <f>AND(IF(predictwithfallbackConfidences!$E35=predictwithfallbackConfidences!$B35,1,0),IF(predictwithfallbackConfidences!$E35=Sheet1!B$2,1,0))</f>
        <v>0</v>
      </c>
      <c r="C35" t="b">
        <f>AND(IF(predictwithfallbackConfidences!$E35=predictwithfallbackConfidences!$B35,1,0),IF(predictwithfallbackConfidences!$E35=Sheet1!C$2,1,0))</f>
        <v>0</v>
      </c>
      <c r="D35" t="b">
        <f>AND(IF(predictwithfallbackConfidences!$E35=predictwithfallbackConfidences!$B35,1,0),IF(predictwithfallbackConfidences!$E35=Sheet1!D$2,1,0))</f>
        <v>0</v>
      </c>
      <c r="F35" t="b">
        <f>AND(IF(predictwithfallbackConfidences!$E35=predictwithfallbackConfidences!$B35,0,1),IF(predictwithfallbackConfidences!$E35=Sheet1!A$2,1,0))</f>
        <v>0</v>
      </c>
      <c r="G35" t="b">
        <f>AND(IF(predictwithfallbackConfidences!$E35=predictwithfallbackConfidences!$B35,0,1),IF(predictwithfallbackConfidences!$E35=Sheet1!B$2,1,0))</f>
        <v>0</v>
      </c>
      <c r="H35" t="b">
        <f>AND(IF(predictwithfallbackConfidences!$E35=predictwithfallbackConfidences!$B35,0,1),IF(predictwithfallbackConfidences!$E35=Sheet1!C$2,1,0))</f>
        <v>1</v>
      </c>
      <c r="I35" t="b">
        <f>AND(IF(predictwithfallbackConfidences!$E35=predictwithfallbackConfidences!$B35,0,1),IF(predictwithfallbackConfidences!$E35=Sheet1!D$2,1,0))</f>
        <v>0</v>
      </c>
      <c r="K35" t="b">
        <f>AND(IF(predictwithfallbackConfidences!$E35=predictwithfallbackConfidences!$B35,0,1),IF(predictwithfallbackConfidences!$B35=Sheet1!A$2,1,0))</f>
        <v>0</v>
      </c>
      <c r="L35" t="b">
        <f>AND(IF(predictwithfallbackConfidences!$E35=predictwithfallbackConfidences!$B35,0,1),IF(predictwithfallbackConfidences!$B35=Sheet1!B$2,1,0))</f>
        <v>1</v>
      </c>
      <c r="M35" t="b">
        <f>AND(IF(predictwithfallbackConfidences!$E35=predictwithfallbackConfidences!$B35,0,1),IF(predictwithfallbackConfidences!$B35=Sheet1!C$2,1,0))</f>
        <v>0</v>
      </c>
      <c r="N35" t="b">
        <f>AND(IF(predictwithfallbackConfidences!$E35=predictwithfallbackConfidences!$B35,0,1),IF(predictwithfallbackConfidences!$B35=Sheet1!D$2,1,0))</f>
        <v>0</v>
      </c>
      <c r="Q35" t="b">
        <f>AND(IF(predictwithfallbackConfidences!$F35=predictwithfallbackConfidences!$B35,1,0),IF(predictwithfallbackConfidences!$F35=Sheet1!A$2,1,0))</f>
        <v>0</v>
      </c>
      <c r="R35" t="b">
        <f>AND(IF(predictwithfallbackConfidences!$F35=predictwithfallbackConfidences!$B35,1,0),IF(predictwithfallbackConfidences!$F35=Sheet1!B$2,1,0))</f>
        <v>0</v>
      </c>
      <c r="S35" t="b">
        <f>AND(IF(predictwithfallbackConfidences!$F35=predictwithfallbackConfidences!$B35,1,0),IF(predictwithfallbackConfidences!$F35=Sheet1!C$2,1,0))</f>
        <v>0</v>
      </c>
      <c r="T35" t="b">
        <f>AND(IF(predictwithfallbackConfidences!$F35=predictwithfallbackConfidences!$B35,1,0),IF(predictwithfallbackConfidences!$F35=Sheet1!D$2,1,0))</f>
        <v>0</v>
      </c>
      <c r="V35" t="b">
        <f>AND(IF(predictwithfallbackConfidences!$F35=predictwithfallbackConfidences!$B35,0,1),IF(predictwithfallbackConfidences!$F35=Sheet1!A$2,1,0))</f>
        <v>0</v>
      </c>
      <c r="W35" t="b">
        <f>AND(IF(predictwithfallbackConfidences!$F35=predictwithfallbackConfidences!$B35,0,1),IF(predictwithfallbackConfidences!$F35=Sheet1!B$2,1,0))</f>
        <v>0</v>
      </c>
      <c r="X35" t="b">
        <f>AND(IF(predictwithfallbackConfidences!$F35=predictwithfallbackConfidences!$B35,0,1),IF(predictwithfallbackConfidences!$F35=Sheet1!C$2,1,0))</f>
        <v>1</v>
      </c>
      <c r="Y35" t="b">
        <f>AND(IF(predictwithfallbackConfidences!$F35=predictwithfallbackConfidences!$B35,0,1),IF(predictwithfallbackConfidences!$F35=Sheet1!D$2,1,0))</f>
        <v>0</v>
      </c>
      <c r="AA35" t="b">
        <f>AND(IF(predictwithfallbackConfidences!$F35=predictwithfallbackConfidences!$B35,0,1),IF(predictwithfallbackConfidences!$B35=Sheet1!A$2,1,0))</f>
        <v>0</v>
      </c>
      <c r="AB35" t="b">
        <f>AND(IF(predictwithfallbackConfidences!$F35=predictwithfallbackConfidences!$B35,0,1),IF(predictwithfallbackConfidences!$B35=Sheet1!B$2,1,0))</f>
        <v>1</v>
      </c>
      <c r="AC35" t="b">
        <f>AND(IF(predictwithfallbackConfidences!$F35=predictwithfallbackConfidences!$B35,0,1),IF(predictwithfallbackConfidences!$B35=Sheet1!C$2,1,0))</f>
        <v>0</v>
      </c>
      <c r="AD35" t="b">
        <f>AND(IF(predictwithfallbackConfidences!$F35=predictwithfallbackConfidences!$B35,0,1),IF(predictwithfallbackConfidences!$B35=Sheet1!D$2,1,0))</f>
        <v>0</v>
      </c>
    </row>
    <row r="36" spans="1:30" x14ac:dyDescent="0.25">
      <c r="A36" t="b">
        <f>AND(IF(predictwithfallbackConfidences!$E36=predictwithfallbackConfidences!$B36,1,0),IF(predictwithfallbackConfidences!$E36=Sheet1!A$2,1,0))</f>
        <v>0</v>
      </c>
      <c r="B36" t="b">
        <f>AND(IF(predictwithfallbackConfidences!$E36=predictwithfallbackConfidences!$B36,1,0),IF(predictwithfallbackConfidences!$E36=Sheet1!B$2,1,0))</f>
        <v>0</v>
      </c>
      <c r="C36" t="b">
        <f>AND(IF(predictwithfallbackConfidences!$E36=predictwithfallbackConfidences!$B36,1,0),IF(predictwithfallbackConfidences!$E36=Sheet1!C$2,1,0))</f>
        <v>0</v>
      </c>
      <c r="D36" t="b">
        <f>AND(IF(predictwithfallbackConfidences!$E36=predictwithfallbackConfidences!$B36,1,0),IF(predictwithfallbackConfidences!$E36=Sheet1!D$2,1,0))</f>
        <v>0</v>
      </c>
      <c r="F36" t="b">
        <f>AND(IF(predictwithfallbackConfidences!$E36=predictwithfallbackConfidences!$B36,0,1),IF(predictwithfallbackConfidences!$E36=Sheet1!A$2,1,0))</f>
        <v>1</v>
      </c>
      <c r="G36" t="b">
        <f>AND(IF(predictwithfallbackConfidences!$E36=predictwithfallbackConfidences!$B36,0,1),IF(predictwithfallbackConfidences!$E36=Sheet1!B$2,1,0))</f>
        <v>0</v>
      </c>
      <c r="H36" t="b">
        <f>AND(IF(predictwithfallbackConfidences!$E36=predictwithfallbackConfidences!$B36,0,1),IF(predictwithfallbackConfidences!$E36=Sheet1!C$2,1,0))</f>
        <v>0</v>
      </c>
      <c r="I36" t="b">
        <f>AND(IF(predictwithfallbackConfidences!$E36=predictwithfallbackConfidences!$B36,0,1),IF(predictwithfallbackConfidences!$E36=Sheet1!D$2,1,0))</f>
        <v>0</v>
      </c>
      <c r="K36" t="b">
        <f>AND(IF(predictwithfallbackConfidences!$E36=predictwithfallbackConfidences!$B36,0,1),IF(predictwithfallbackConfidences!$B36=Sheet1!A$2,1,0))</f>
        <v>0</v>
      </c>
      <c r="L36" t="b">
        <f>AND(IF(predictwithfallbackConfidences!$E36=predictwithfallbackConfidences!$B36,0,1),IF(predictwithfallbackConfidences!$B36=Sheet1!B$2,1,0))</f>
        <v>1</v>
      </c>
      <c r="M36" t="b">
        <f>AND(IF(predictwithfallbackConfidences!$E36=predictwithfallbackConfidences!$B36,0,1),IF(predictwithfallbackConfidences!$B36=Sheet1!C$2,1,0))</f>
        <v>0</v>
      </c>
      <c r="N36" t="b">
        <f>AND(IF(predictwithfallbackConfidences!$E36=predictwithfallbackConfidences!$B36,0,1),IF(predictwithfallbackConfidences!$B36=Sheet1!D$2,1,0))</f>
        <v>0</v>
      </c>
      <c r="Q36" t="b">
        <f>AND(IF(predictwithfallbackConfidences!$F36=predictwithfallbackConfidences!$B36,1,0),IF(predictwithfallbackConfidences!$F36=Sheet1!A$2,1,0))</f>
        <v>0</v>
      </c>
      <c r="R36" t="b">
        <f>AND(IF(predictwithfallbackConfidences!$F36=predictwithfallbackConfidences!$B36,1,0),IF(predictwithfallbackConfidences!$F36=Sheet1!B$2,1,0))</f>
        <v>0</v>
      </c>
      <c r="S36" t="b">
        <f>AND(IF(predictwithfallbackConfidences!$F36=predictwithfallbackConfidences!$B36,1,0),IF(predictwithfallbackConfidences!$F36=Sheet1!C$2,1,0))</f>
        <v>0</v>
      </c>
      <c r="T36" t="b">
        <f>AND(IF(predictwithfallbackConfidences!$F36=predictwithfallbackConfidences!$B36,1,0),IF(predictwithfallbackConfidences!$F36=Sheet1!D$2,1,0))</f>
        <v>0</v>
      </c>
      <c r="V36" t="b">
        <f>AND(IF(predictwithfallbackConfidences!$F36=predictwithfallbackConfidences!$B36,0,1),IF(predictwithfallbackConfidences!$F36=Sheet1!A$2,1,0))</f>
        <v>0</v>
      </c>
      <c r="W36" t="b">
        <f>AND(IF(predictwithfallbackConfidences!$F36=predictwithfallbackConfidences!$B36,0,1),IF(predictwithfallbackConfidences!$F36=Sheet1!B$2,1,0))</f>
        <v>0</v>
      </c>
      <c r="X36" t="b">
        <f>AND(IF(predictwithfallbackConfidences!$F36=predictwithfallbackConfidences!$B36,0,1),IF(predictwithfallbackConfidences!$F36=Sheet1!C$2,1,0))</f>
        <v>1</v>
      </c>
      <c r="Y36" t="b">
        <f>AND(IF(predictwithfallbackConfidences!$F36=predictwithfallbackConfidences!$B36,0,1),IF(predictwithfallbackConfidences!$F36=Sheet1!D$2,1,0))</f>
        <v>0</v>
      </c>
      <c r="AA36" t="b">
        <f>AND(IF(predictwithfallbackConfidences!$F36=predictwithfallbackConfidences!$B36,0,1),IF(predictwithfallbackConfidences!$B36=Sheet1!A$2,1,0))</f>
        <v>0</v>
      </c>
      <c r="AB36" t="b">
        <f>AND(IF(predictwithfallbackConfidences!$F36=predictwithfallbackConfidences!$B36,0,1),IF(predictwithfallbackConfidences!$B36=Sheet1!B$2,1,0))</f>
        <v>1</v>
      </c>
      <c r="AC36" t="b">
        <f>AND(IF(predictwithfallbackConfidences!$F36=predictwithfallbackConfidences!$B36,0,1),IF(predictwithfallbackConfidences!$B36=Sheet1!C$2,1,0))</f>
        <v>0</v>
      </c>
      <c r="AD36" t="b">
        <f>AND(IF(predictwithfallbackConfidences!$F36=predictwithfallbackConfidences!$B36,0,1),IF(predictwithfallbackConfidences!$B36=Sheet1!D$2,1,0))</f>
        <v>0</v>
      </c>
    </row>
    <row r="37" spans="1:30" x14ac:dyDescent="0.25">
      <c r="A37" t="b">
        <f>AND(IF(predictwithfallbackConfidences!$E37=predictwithfallbackConfidences!$B37,1,0),IF(predictwithfallbackConfidences!$E37=Sheet1!A$2,1,0))</f>
        <v>0</v>
      </c>
      <c r="B37" t="b">
        <f>AND(IF(predictwithfallbackConfidences!$E37=predictwithfallbackConfidences!$B37,1,0),IF(predictwithfallbackConfidences!$E37=Sheet1!B$2,1,0))</f>
        <v>0</v>
      </c>
      <c r="C37" t="b">
        <f>AND(IF(predictwithfallbackConfidences!$E37=predictwithfallbackConfidences!$B37,1,0),IF(predictwithfallbackConfidences!$E37=Sheet1!C$2,1,0))</f>
        <v>0</v>
      </c>
      <c r="D37" t="b">
        <f>AND(IF(predictwithfallbackConfidences!$E37=predictwithfallbackConfidences!$B37,1,0),IF(predictwithfallbackConfidences!$E37=Sheet1!D$2,1,0))</f>
        <v>0</v>
      </c>
      <c r="F37" t="b">
        <f>AND(IF(predictwithfallbackConfidences!$E37=predictwithfallbackConfidences!$B37,0,1),IF(predictwithfallbackConfidences!$E37=Sheet1!A$2,1,0))</f>
        <v>1</v>
      </c>
      <c r="G37" t="b">
        <f>AND(IF(predictwithfallbackConfidences!$E37=predictwithfallbackConfidences!$B37,0,1),IF(predictwithfallbackConfidences!$E37=Sheet1!B$2,1,0))</f>
        <v>0</v>
      </c>
      <c r="H37" t="b">
        <f>AND(IF(predictwithfallbackConfidences!$E37=predictwithfallbackConfidences!$B37,0,1),IF(predictwithfallbackConfidences!$E37=Sheet1!C$2,1,0))</f>
        <v>0</v>
      </c>
      <c r="I37" t="b">
        <f>AND(IF(predictwithfallbackConfidences!$E37=predictwithfallbackConfidences!$B37,0,1),IF(predictwithfallbackConfidences!$E37=Sheet1!D$2,1,0))</f>
        <v>0</v>
      </c>
      <c r="K37" t="b">
        <f>AND(IF(predictwithfallbackConfidences!$E37=predictwithfallbackConfidences!$B37,0,1),IF(predictwithfallbackConfidences!$B37=Sheet1!A$2,1,0))</f>
        <v>0</v>
      </c>
      <c r="L37" t="b">
        <f>AND(IF(predictwithfallbackConfidences!$E37=predictwithfallbackConfidences!$B37,0,1),IF(predictwithfallbackConfidences!$B37=Sheet1!B$2,1,0))</f>
        <v>1</v>
      </c>
      <c r="M37" t="b">
        <f>AND(IF(predictwithfallbackConfidences!$E37=predictwithfallbackConfidences!$B37,0,1),IF(predictwithfallbackConfidences!$B37=Sheet1!C$2,1,0))</f>
        <v>0</v>
      </c>
      <c r="N37" t="b">
        <f>AND(IF(predictwithfallbackConfidences!$E37=predictwithfallbackConfidences!$B37,0,1),IF(predictwithfallbackConfidences!$B37=Sheet1!D$2,1,0))</f>
        <v>0</v>
      </c>
      <c r="Q37" t="b">
        <f>AND(IF(predictwithfallbackConfidences!$F37=predictwithfallbackConfidences!$B37,1,0),IF(predictwithfallbackConfidences!$F37=Sheet1!A$2,1,0))</f>
        <v>0</v>
      </c>
      <c r="R37" t="b">
        <f>AND(IF(predictwithfallbackConfidences!$F37=predictwithfallbackConfidences!$B37,1,0),IF(predictwithfallbackConfidences!$F37=Sheet1!B$2,1,0))</f>
        <v>0</v>
      </c>
      <c r="S37" t="b">
        <f>AND(IF(predictwithfallbackConfidences!$F37=predictwithfallbackConfidences!$B37,1,0),IF(predictwithfallbackConfidences!$F37=Sheet1!C$2,1,0))</f>
        <v>0</v>
      </c>
      <c r="T37" t="b">
        <f>AND(IF(predictwithfallbackConfidences!$F37=predictwithfallbackConfidences!$B37,1,0),IF(predictwithfallbackConfidences!$F37=Sheet1!D$2,1,0))</f>
        <v>0</v>
      </c>
      <c r="V37" t="b">
        <f>AND(IF(predictwithfallbackConfidences!$F37=predictwithfallbackConfidences!$B37,0,1),IF(predictwithfallbackConfidences!$F37=Sheet1!A$2,1,0))</f>
        <v>1</v>
      </c>
      <c r="W37" t="b">
        <f>AND(IF(predictwithfallbackConfidences!$F37=predictwithfallbackConfidences!$B37,0,1),IF(predictwithfallbackConfidences!$F37=Sheet1!B$2,1,0))</f>
        <v>0</v>
      </c>
      <c r="X37" t="b">
        <f>AND(IF(predictwithfallbackConfidences!$F37=predictwithfallbackConfidences!$B37,0,1),IF(predictwithfallbackConfidences!$F37=Sheet1!C$2,1,0))</f>
        <v>0</v>
      </c>
      <c r="Y37" t="b">
        <f>AND(IF(predictwithfallbackConfidences!$F37=predictwithfallbackConfidences!$B37,0,1),IF(predictwithfallbackConfidences!$F37=Sheet1!D$2,1,0))</f>
        <v>0</v>
      </c>
      <c r="AA37" t="b">
        <f>AND(IF(predictwithfallbackConfidences!$F37=predictwithfallbackConfidences!$B37,0,1),IF(predictwithfallbackConfidences!$B37=Sheet1!A$2,1,0))</f>
        <v>0</v>
      </c>
      <c r="AB37" t="b">
        <f>AND(IF(predictwithfallbackConfidences!$F37=predictwithfallbackConfidences!$B37,0,1),IF(predictwithfallbackConfidences!$B37=Sheet1!B$2,1,0))</f>
        <v>1</v>
      </c>
      <c r="AC37" t="b">
        <f>AND(IF(predictwithfallbackConfidences!$F37=predictwithfallbackConfidences!$B37,0,1),IF(predictwithfallbackConfidences!$B37=Sheet1!C$2,1,0))</f>
        <v>0</v>
      </c>
      <c r="AD37" t="b">
        <f>AND(IF(predictwithfallbackConfidences!$F37=predictwithfallbackConfidences!$B37,0,1),IF(predictwithfallbackConfidences!$B37=Sheet1!D$2,1,0))</f>
        <v>0</v>
      </c>
    </row>
    <row r="38" spans="1:30" x14ac:dyDescent="0.25">
      <c r="A38" t="b">
        <f>AND(IF(predictwithfallbackConfidences!$E38=predictwithfallbackConfidences!$B38,1,0),IF(predictwithfallbackConfidences!$E38=Sheet1!A$2,1,0))</f>
        <v>0</v>
      </c>
      <c r="B38" t="b">
        <f>AND(IF(predictwithfallbackConfidences!$E38=predictwithfallbackConfidences!$B38,1,0),IF(predictwithfallbackConfidences!$E38=Sheet1!B$2,1,0))</f>
        <v>0</v>
      </c>
      <c r="C38" t="b">
        <f>AND(IF(predictwithfallbackConfidences!$E38=predictwithfallbackConfidences!$B38,1,0),IF(predictwithfallbackConfidences!$E38=Sheet1!C$2,1,0))</f>
        <v>0</v>
      </c>
      <c r="D38" t="b">
        <f>AND(IF(predictwithfallbackConfidences!$E38=predictwithfallbackConfidences!$B38,1,0),IF(predictwithfallbackConfidences!$E38=Sheet1!D$2,1,0))</f>
        <v>0</v>
      </c>
      <c r="F38" t="b">
        <f>AND(IF(predictwithfallbackConfidences!$E38=predictwithfallbackConfidences!$B38,0,1),IF(predictwithfallbackConfidences!$E38=Sheet1!A$2,1,0))</f>
        <v>1</v>
      </c>
      <c r="G38" t="b">
        <f>AND(IF(predictwithfallbackConfidences!$E38=predictwithfallbackConfidences!$B38,0,1),IF(predictwithfallbackConfidences!$E38=Sheet1!B$2,1,0))</f>
        <v>0</v>
      </c>
      <c r="H38" t="b">
        <f>AND(IF(predictwithfallbackConfidences!$E38=predictwithfallbackConfidences!$B38,0,1),IF(predictwithfallbackConfidences!$E38=Sheet1!C$2,1,0))</f>
        <v>0</v>
      </c>
      <c r="I38" t="b">
        <f>AND(IF(predictwithfallbackConfidences!$E38=predictwithfallbackConfidences!$B38,0,1),IF(predictwithfallbackConfidences!$E38=Sheet1!D$2,1,0))</f>
        <v>0</v>
      </c>
      <c r="K38" t="b">
        <f>AND(IF(predictwithfallbackConfidences!$E38=predictwithfallbackConfidences!$B38,0,1),IF(predictwithfallbackConfidences!$B38=Sheet1!A$2,1,0))</f>
        <v>0</v>
      </c>
      <c r="L38" t="b">
        <f>AND(IF(predictwithfallbackConfidences!$E38=predictwithfallbackConfidences!$B38,0,1),IF(predictwithfallbackConfidences!$B38=Sheet1!B$2,1,0))</f>
        <v>1</v>
      </c>
      <c r="M38" t="b">
        <f>AND(IF(predictwithfallbackConfidences!$E38=predictwithfallbackConfidences!$B38,0,1),IF(predictwithfallbackConfidences!$B38=Sheet1!C$2,1,0))</f>
        <v>0</v>
      </c>
      <c r="N38" t="b">
        <f>AND(IF(predictwithfallbackConfidences!$E38=predictwithfallbackConfidences!$B38,0,1),IF(predictwithfallbackConfidences!$B38=Sheet1!D$2,1,0))</f>
        <v>0</v>
      </c>
      <c r="Q38" t="b">
        <f>AND(IF(predictwithfallbackConfidences!$F38=predictwithfallbackConfidences!$B38,1,0),IF(predictwithfallbackConfidences!$F38=Sheet1!A$2,1,0))</f>
        <v>0</v>
      </c>
      <c r="R38" t="b">
        <f>AND(IF(predictwithfallbackConfidences!$F38=predictwithfallbackConfidences!$B38,1,0),IF(predictwithfallbackConfidences!$F38=Sheet1!B$2,1,0))</f>
        <v>0</v>
      </c>
      <c r="S38" t="b">
        <f>AND(IF(predictwithfallbackConfidences!$F38=predictwithfallbackConfidences!$B38,1,0),IF(predictwithfallbackConfidences!$F38=Sheet1!C$2,1,0))</f>
        <v>0</v>
      </c>
      <c r="T38" t="b">
        <f>AND(IF(predictwithfallbackConfidences!$F38=predictwithfallbackConfidences!$B38,1,0),IF(predictwithfallbackConfidences!$F38=Sheet1!D$2,1,0))</f>
        <v>0</v>
      </c>
      <c r="V38" t="b">
        <f>AND(IF(predictwithfallbackConfidences!$F38=predictwithfallbackConfidences!$B38,0,1),IF(predictwithfallbackConfidences!$F38=Sheet1!A$2,1,0))</f>
        <v>0</v>
      </c>
      <c r="W38" t="b">
        <f>AND(IF(predictwithfallbackConfidences!$F38=predictwithfallbackConfidences!$B38,0,1),IF(predictwithfallbackConfidences!$F38=Sheet1!B$2,1,0))</f>
        <v>0</v>
      </c>
      <c r="X38" t="b">
        <f>AND(IF(predictwithfallbackConfidences!$F38=predictwithfallbackConfidences!$B38,0,1),IF(predictwithfallbackConfidences!$F38=Sheet1!C$2,1,0))</f>
        <v>1</v>
      </c>
      <c r="Y38" t="b">
        <f>AND(IF(predictwithfallbackConfidences!$F38=predictwithfallbackConfidences!$B38,0,1),IF(predictwithfallbackConfidences!$F38=Sheet1!D$2,1,0))</f>
        <v>0</v>
      </c>
      <c r="AA38" t="b">
        <f>AND(IF(predictwithfallbackConfidences!$F38=predictwithfallbackConfidences!$B38,0,1),IF(predictwithfallbackConfidences!$B38=Sheet1!A$2,1,0))</f>
        <v>0</v>
      </c>
      <c r="AB38" t="b">
        <f>AND(IF(predictwithfallbackConfidences!$F38=predictwithfallbackConfidences!$B38,0,1),IF(predictwithfallbackConfidences!$B38=Sheet1!B$2,1,0))</f>
        <v>1</v>
      </c>
      <c r="AC38" t="b">
        <f>AND(IF(predictwithfallbackConfidences!$F38=predictwithfallbackConfidences!$B38,0,1),IF(predictwithfallbackConfidences!$B38=Sheet1!C$2,1,0))</f>
        <v>0</v>
      </c>
      <c r="AD38" t="b">
        <f>AND(IF(predictwithfallbackConfidences!$F38=predictwithfallbackConfidences!$B38,0,1),IF(predictwithfallbackConfidences!$B38=Sheet1!D$2,1,0))</f>
        <v>0</v>
      </c>
    </row>
    <row r="39" spans="1:30" x14ac:dyDescent="0.25">
      <c r="A39" t="b">
        <f>AND(IF(predictwithfallbackConfidences!$E39=predictwithfallbackConfidences!$B39,1,0),IF(predictwithfallbackConfidences!$E39=Sheet1!A$2,1,0))</f>
        <v>0</v>
      </c>
      <c r="B39" t="b">
        <f>AND(IF(predictwithfallbackConfidences!$E39=predictwithfallbackConfidences!$B39,1,0),IF(predictwithfallbackConfidences!$E39=Sheet1!B$2,1,0))</f>
        <v>1</v>
      </c>
      <c r="C39" t="b">
        <f>AND(IF(predictwithfallbackConfidences!$E39=predictwithfallbackConfidences!$B39,1,0),IF(predictwithfallbackConfidences!$E39=Sheet1!C$2,1,0))</f>
        <v>0</v>
      </c>
      <c r="D39" t="b">
        <f>AND(IF(predictwithfallbackConfidences!$E39=predictwithfallbackConfidences!$B39,1,0),IF(predictwithfallbackConfidences!$E39=Sheet1!D$2,1,0))</f>
        <v>0</v>
      </c>
      <c r="F39" t="b">
        <f>AND(IF(predictwithfallbackConfidences!$E39=predictwithfallbackConfidences!$B39,0,1),IF(predictwithfallbackConfidences!$E39=Sheet1!A$2,1,0))</f>
        <v>0</v>
      </c>
      <c r="G39" t="b">
        <f>AND(IF(predictwithfallbackConfidences!$E39=predictwithfallbackConfidences!$B39,0,1),IF(predictwithfallbackConfidences!$E39=Sheet1!B$2,1,0))</f>
        <v>0</v>
      </c>
      <c r="H39" t="b">
        <f>AND(IF(predictwithfallbackConfidences!$E39=predictwithfallbackConfidences!$B39,0,1),IF(predictwithfallbackConfidences!$E39=Sheet1!C$2,1,0))</f>
        <v>0</v>
      </c>
      <c r="I39" t="b">
        <f>AND(IF(predictwithfallbackConfidences!$E39=predictwithfallbackConfidences!$B39,0,1),IF(predictwithfallbackConfidences!$E39=Sheet1!D$2,1,0))</f>
        <v>0</v>
      </c>
      <c r="K39" t="b">
        <f>AND(IF(predictwithfallbackConfidences!$E39=predictwithfallbackConfidences!$B39,0,1),IF(predictwithfallbackConfidences!$B39=Sheet1!A$2,1,0))</f>
        <v>0</v>
      </c>
      <c r="L39" t="b">
        <f>AND(IF(predictwithfallbackConfidences!$E39=predictwithfallbackConfidences!$B39,0,1),IF(predictwithfallbackConfidences!$B39=Sheet1!B$2,1,0))</f>
        <v>0</v>
      </c>
      <c r="M39" t="b">
        <f>AND(IF(predictwithfallbackConfidences!$E39=predictwithfallbackConfidences!$B39,0,1),IF(predictwithfallbackConfidences!$B39=Sheet1!C$2,1,0))</f>
        <v>0</v>
      </c>
      <c r="N39" t="b">
        <f>AND(IF(predictwithfallbackConfidences!$E39=predictwithfallbackConfidences!$B39,0,1),IF(predictwithfallbackConfidences!$B39=Sheet1!D$2,1,0))</f>
        <v>0</v>
      </c>
      <c r="Q39" t="b">
        <f>AND(IF(predictwithfallbackConfidences!$F39=predictwithfallbackConfidences!$B39,1,0),IF(predictwithfallbackConfidences!$F39=Sheet1!A$2,1,0))</f>
        <v>0</v>
      </c>
      <c r="R39" t="b">
        <f>AND(IF(predictwithfallbackConfidences!$F39=predictwithfallbackConfidences!$B39,1,0),IF(predictwithfallbackConfidences!$F39=Sheet1!B$2,1,0))</f>
        <v>1</v>
      </c>
      <c r="S39" t="b">
        <f>AND(IF(predictwithfallbackConfidences!$F39=predictwithfallbackConfidences!$B39,1,0),IF(predictwithfallbackConfidences!$F39=Sheet1!C$2,1,0))</f>
        <v>0</v>
      </c>
      <c r="T39" t="b">
        <f>AND(IF(predictwithfallbackConfidences!$F39=predictwithfallbackConfidences!$B39,1,0),IF(predictwithfallbackConfidences!$F39=Sheet1!D$2,1,0))</f>
        <v>0</v>
      </c>
      <c r="V39" t="b">
        <f>AND(IF(predictwithfallbackConfidences!$F39=predictwithfallbackConfidences!$B39,0,1),IF(predictwithfallbackConfidences!$F39=Sheet1!A$2,1,0))</f>
        <v>0</v>
      </c>
      <c r="W39" t="b">
        <f>AND(IF(predictwithfallbackConfidences!$F39=predictwithfallbackConfidences!$B39,0,1),IF(predictwithfallbackConfidences!$F39=Sheet1!B$2,1,0))</f>
        <v>0</v>
      </c>
      <c r="X39" t="b">
        <f>AND(IF(predictwithfallbackConfidences!$F39=predictwithfallbackConfidences!$B39,0,1),IF(predictwithfallbackConfidences!$F39=Sheet1!C$2,1,0))</f>
        <v>0</v>
      </c>
      <c r="Y39" t="b">
        <f>AND(IF(predictwithfallbackConfidences!$F39=predictwithfallbackConfidences!$B39,0,1),IF(predictwithfallbackConfidences!$F39=Sheet1!D$2,1,0))</f>
        <v>0</v>
      </c>
      <c r="AA39" t="b">
        <f>AND(IF(predictwithfallbackConfidences!$F39=predictwithfallbackConfidences!$B39,0,1),IF(predictwithfallbackConfidences!$B39=Sheet1!A$2,1,0))</f>
        <v>0</v>
      </c>
      <c r="AB39" t="b">
        <f>AND(IF(predictwithfallbackConfidences!$F39=predictwithfallbackConfidences!$B39,0,1),IF(predictwithfallbackConfidences!$B39=Sheet1!B$2,1,0))</f>
        <v>0</v>
      </c>
      <c r="AC39" t="b">
        <f>AND(IF(predictwithfallbackConfidences!$F39=predictwithfallbackConfidences!$B39,0,1),IF(predictwithfallbackConfidences!$B39=Sheet1!C$2,1,0))</f>
        <v>0</v>
      </c>
      <c r="AD39" t="b">
        <f>AND(IF(predictwithfallbackConfidences!$F39=predictwithfallbackConfidences!$B39,0,1),IF(predictwithfallbackConfidences!$B39=Sheet1!D$2,1,0))</f>
        <v>0</v>
      </c>
    </row>
    <row r="40" spans="1:30" x14ac:dyDescent="0.25">
      <c r="A40" t="b">
        <f>AND(IF(predictwithfallbackConfidences!$E40=predictwithfallbackConfidences!$B40,1,0),IF(predictwithfallbackConfidences!$E40=Sheet1!A$2,1,0))</f>
        <v>0</v>
      </c>
      <c r="B40" t="b">
        <f>AND(IF(predictwithfallbackConfidences!$E40=predictwithfallbackConfidences!$B40,1,0),IF(predictwithfallbackConfidences!$E40=Sheet1!B$2,1,0))</f>
        <v>1</v>
      </c>
      <c r="C40" t="b">
        <f>AND(IF(predictwithfallbackConfidences!$E40=predictwithfallbackConfidences!$B40,1,0),IF(predictwithfallbackConfidences!$E40=Sheet1!C$2,1,0))</f>
        <v>0</v>
      </c>
      <c r="D40" t="b">
        <f>AND(IF(predictwithfallbackConfidences!$E40=predictwithfallbackConfidences!$B40,1,0),IF(predictwithfallbackConfidences!$E40=Sheet1!D$2,1,0))</f>
        <v>0</v>
      </c>
      <c r="F40" t="b">
        <f>AND(IF(predictwithfallbackConfidences!$E40=predictwithfallbackConfidences!$B40,0,1),IF(predictwithfallbackConfidences!$E40=Sheet1!A$2,1,0))</f>
        <v>0</v>
      </c>
      <c r="G40" t="b">
        <f>AND(IF(predictwithfallbackConfidences!$E40=predictwithfallbackConfidences!$B40,0,1),IF(predictwithfallbackConfidences!$E40=Sheet1!B$2,1,0))</f>
        <v>0</v>
      </c>
      <c r="H40" t="b">
        <f>AND(IF(predictwithfallbackConfidences!$E40=predictwithfallbackConfidences!$B40,0,1),IF(predictwithfallbackConfidences!$E40=Sheet1!C$2,1,0))</f>
        <v>0</v>
      </c>
      <c r="I40" t="b">
        <f>AND(IF(predictwithfallbackConfidences!$E40=predictwithfallbackConfidences!$B40,0,1),IF(predictwithfallbackConfidences!$E40=Sheet1!D$2,1,0))</f>
        <v>0</v>
      </c>
      <c r="K40" t="b">
        <f>AND(IF(predictwithfallbackConfidences!$E40=predictwithfallbackConfidences!$B40,0,1),IF(predictwithfallbackConfidences!$B40=Sheet1!A$2,1,0))</f>
        <v>0</v>
      </c>
      <c r="L40" t="b">
        <f>AND(IF(predictwithfallbackConfidences!$E40=predictwithfallbackConfidences!$B40,0,1),IF(predictwithfallbackConfidences!$B40=Sheet1!B$2,1,0))</f>
        <v>0</v>
      </c>
      <c r="M40" t="b">
        <f>AND(IF(predictwithfallbackConfidences!$E40=predictwithfallbackConfidences!$B40,0,1),IF(predictwithfallbackConfidences!$B40=Sheet1!C$2,1,0))</f>
        <v>0</v>
      </c>
      <c r="N40" t="b">
        <f>AND(IF(predictwithfallbackConfidences!$E40=predictwithfallbackConfidences!$B40,0,1),IF(predictwithfallbackConfidences!$B40=Sheet1!D$2,1,0))</f>
        <v>0</v>
      </c>
      <c r="Q40" t="b">
        <f>AND(IF(predictwithfallbackConfidences!$F40=predictwithfallbackConfidences!$B40,1,0),IF(predictwithfallbackConfidences!$F40=Sheet1!A$2,1,0))</f>
        <v>0</v>
      </c>
      <c r="R40" t="b">
        <f>AND(IF(predictwithfallbackConfidences!$F40=predictwithfallbackConfidences!$B40,1,0),IF(predictwithfallbackConfidences!$F40=Sheet1!B$2,1,0))</f>
        <v>1</v>
      </c>
      <c r="S40" t="b">
        <f>AND(IF(predictwithfallbackConfidences!$F40=predictwithfallbackConfidences!$B40,1,0),IF(predictwithfallbackConfidences!$F40=Sheet1!C$2,1,0))</f>
        <v>0</v>
      </c>
      <c r="T40" t="b">
        <f>AND(IF(predictwithfallbackConfidences!$F40=predictwithfallbackConfidences!$B40,1,0),IF(predictwithfallbackConfidences!$F40=Sheet1!D$2,1,0))</f>
        <v>0</v>
      </c>
      <c r="V40" t="b">
        <f>AND(IF(predictwithfallbackConfidences!$F40=predictwithfallbackConfidences!$B40,0,1),IF(predictwithfallbackConfidences!$F40=Sheet1!A$2,1,0))</f>
        <v>0</v>
      </c>
      <c r="W40" t="b">
        <f>AND(IF(predictwithfallbackConfidences!$F40=predictwithfallbackConfidences!$B40,0,1),IF(predictwithfallbackConfidences!$F40=Sheet1!B$2,1,0))</f>
        <v>0</v>
      </c>
      <c r="X40" t="b">
        <f>AND(IF(predictwithfallbackConfidences!$F40=predictwithfallbackConfidences!$B40,0,1),IF(predictwithfallbackConfidences!$F40=Sheet1!C$2,1,0))</f>
        <v>0</v>
      </c>
      <c r="Y40" t="b">
        <f>AND(IF(predictwithfallbackConfidences!$F40=predictwithfallbackConfidences!$B40,0,1),IF(predictwithfallbackConfidences!$F40=Sheet1!D$2,1,0))</f>
        <v>0</v>
      </c>
      <c r="AA40" t="b">
        <f>AND(IF(predictwithfallbackConfidences!$F40=predictwithfallbackConfidences!$B40,0,1),IF(predictwithfallbackConfidences!$B40=Sheet1!A$2,1,0))</f>
        <v>0</v>
      </c>
      <c r="AB40" t="b">
        <f>AND(IF(predictwithfallbackConfidences!$F40=predictwithfallbackConfidences!$B40,0,1),IF(predictwithfallbackConfidences!$B40=Sheet1!B$2,1,0))</f>
        <v>0</v>
      </c>
      <c r="AC40" t="b">
        <f>AND(IF(predictwithfallbackConfidences!$F40=predictwithfallbackConfidences!$B40,0,1),IF(predictwithfallbackConfidences!$B40=Sheet1!C$2,1,0))</f>
        <v>0</v>
      </c>
      <c r="AD40" t="b">
        <f>AND(IF(predictwithfallbackConfidences!$F40=predictwithfallbackConfidences!$B40,0,1),IF(predictwithfallbackConfidences!$B40=Sheet1!D$2,1,0))</f>
        <v>0</v>
      </c>
    </row>
    <row r="41" spans="1:30" x14ac:dyDescent="0.25">
      <c r="A41" t="b">
        <f>AND(IF(predictwithfallbackConfidences!$E41=predictwithfallbackConfidences!$B41,1,0),IF(predictwithfallbackConfidences!$E41=Sheet1!A$2,1,0))</f>
        <v>0</v>
      </c>
      <c r="B41" t="b">
        <f>AND(IF(predictwithfallbackConfidences!$E41=predictwithfallbackConfidences!$B41,1,0),IF(predictwithfallbackConfidences!$E41=Sheet1!B$2,1,0))</f>
        <v>1</v>
      </c>
      <c r="C41" t="b">
        <f>AND(IF(predictwithfallbackConfidences!$E41=predictwithfallbackConfidences!$B41,1,0),IF(predictwithfallbackConfidences!$E41=Sheet1!C$2,1,0))</f>
        <v>0</v>
      </c>
      <c r="D41" t="b">
        <f>AND(IF(predictwithfallbackConfidences!$E41=predictwithfallbackConfidences!$B41,1,0),IF(predictwithfallbackConfidences!$E41=Sheet1!D$2,1,0))</f>
        <v>0</v>
      </c>
      <c r="F41" t="b">
        <f>AND(IF(predictwithfallbackConfidences!$E41=predictwithfallbackConfidences!$B41,0,1),IF(predictwithfallbackConfidences!$E41=Sheet1!A$2,1,0))</f>
        <v>0</v>
      </c>
      <c r="G41" t="b">
        <f>AND(IF(predictwithfallbackConfidences!$E41=predictwithfallbackConfidences!$B41,0,1),IF(predictwithfallbackConfidences!$E41=Sheet1!B$2,1,0))</f>
        <v>0</v>
      </c>
      <c r="H41" t="b">
        <f>AND(IF(predictwithfallbackConfidences!$E41=predictwithfallbackConfidences!$B41,0,1),IF(predictwithfallbackConfidences!$E41=Sheet1!C$2,1,0))</f>
        <v>0</v>
      </c>
      <c r="I41" t="b">
        <f>AND(IF(predictwithfallbackConfidences!$E41=predictwithfallbackConfidences!$B41,0,1),IF(predictwithfallbackConfidences!$E41=Sheet1!D$2,1,0))</f>
        <v>0</v>
      </c>
      <c r="K41" t="b">
        <f>AND(IF(predictwithfallbackConfidences!$E41=predictwithfallbackConfidences!$B41,0,1),IF(predictwithfallbackConfidences!$B41=Sheet1!A$2,1,0))</f>
        <v>0</v>
      </c>
      <c r="L41" t="b">
        <f>AND(IF(predictwithfallbackConfidences!$E41=predictwithfallbackConfidences!$B41,0,1),IF(predictwithfallbackConfidences!$B41=Sheet1!B$2,1,0))</f>
        <v>0</v>
      </c>
      <c r="M41" t="b">
        <f>AND(IF(predictwithfallbackConfidences!$E41=predictwithfallbackConfidences!$B41,0,1),IF(predictwithfallbackConfidences!$B41=Sheet1!C$2,1,0))</f>
        <v>0</v>
      </c>
      <c r="N41" t="b">
        <f>AND(IF(predictwithfallbackConfidences!$E41=predictwithfallbackConfidences!$B41,0,1),IF(predictwithfallbackConfidences!$B41=Sheet1!D$2,1,0))</f>
        <v>0</v>
      </c>
      <c r="Q41" t="b">
        <f>AND(IF(predictwithfallbackConfidences!$F41=predictwithfallbackConfidences!$B41,1,0),IF(predictwithfallbackConfidences!$F41=Sheet1!A$2,1,0))</f>
        <v>0</v>
      </c>
      <c r="R41" t="b">
        <f>AND(IF(predictwithfallbackConfidences!$F41=predictwithfallbackConfidences!$B41,1,0),IF(predictwithfallbackConfidences!$F41=Sheet1!B$2,1,0))</f>
        <v>0</v>
      </c>
      <c r="S41" t="b">
        <f>AND(IF(predictwithfallbackConfidences!$F41=predictwithfallbackConfidences!$B41,1,0),IF(predictwithfallbackConfidences!$F41=Sheet1!C$2,1,0))</f>
        <v>0</v>
      </c>
      <c r="T41" t="b">
        <f>AND(IF(predictwithfallbackConfidences!$F41=predictwithfallbackConfidences!$B41,1,0),IF(predictwithfallbackConfidences!$F41=Sheet1!D$2,1,0))</f>
        <v>0</v>
      </c>
      <c r="V41" t="b">
        <f>AND(IF(predictwithfallbackConfidences!$F41=predictwithfallbackConfidences!$B41,0,1),IF(predictwithfallbackConfidences!$F41=Sheet1!A$2,1,0))</f>
        <v>0</v>
      </c>
      <c r="W41" t="b">
        <f>AND(IF(predictwithfallbackConfidences!$F41=predictwithfallbackConfidences!$B41,0,1),IF(predictwithfallbackConfidences!$F41=Sheet1!B$2,1,0))</f>
        <v>0</v>
      </c>
      <c r="X41" t="b">
        <f>AND(IF(predictwithfallbackConfidences!$F41=predictwithfallbackConfidences!$B41,0,1),IF(predictwithfallbackConfidences!$F41=Sheet1!C$2,1,0))</f>
        <v>1</v>
      </c>
      <c r="Y41" t="b">
        <f>AND(IF(predictwithfallbackConfidences!$F41=predictwithfallbackConfidences!$B41,0,1),IF(predictwithfallbackConfidences!$F41=Sheet1!D$2,1,0))</f>
        <v>0</v>
      </c>
      <c r="AA41" t="b">
        <f>AND(IF(predictwithfallbackConfidences!$F41=predictwithfallbackConfidences!$B41,0,1),IF(predictwithfallbackConfidences!$B41=Sheet1!A$2,1,0))</f>
        <v>0</v>
      </c>
      <c r="AB41" t="b">
        <f>AND(IF(predictwithfallbackConfidences!$F41=predictwithfallbackConfidences!$B41,0,1),IF(predictwithfallbackConfidences!$B41=Sheet1!B$2,1,0))</f>
        <v>1</v>
      </c>
      <c r="AC41" t="b">
        <f>AND(IF(predictwithfallbackConfidences!$F41=predictwithfallbackConfidences!$B41,0,1),IF(predictwithfallbackConfidences!$B41=Sheet1!C$2,1,0))</f>
        <v>0</v>
      </c>
      <c r="AD41" t="b">
        <f>AND(IF(predictwithfallbackConfidences!$F41=predictwithfallbackConfidences!$B41,0,1),IF(predictwithfallbackConfidences!$B41=Sheet1!D$2,1,0))</f>
        <v>0</v>
      </c>
    </row>
    <row r="42" spans="1:30" x14ac:dyDescent="0.25">
      <c r="A42" t="b">
        <f>AND(IF(predictwithfallbackConfidences!$E42=predictwithfallbackConfidences!$B42,1,0),IF(predictwithfallbackConfidences!$E42=Sheet1!A$2,1,0))</f>
        <v>0</v>
      </c>
      <c r="B42" t="b">
        <f>AND(IF(predictwithfallbackConfidences!$E42=predictwithfallbackConfidences!$B42,1,0),IF(predictwithfallbackConfidences!$E42=Sheet1!B$2,1,0))</f>
        <v>0</v>
      </c>
      <c r="C42" t="b">
        <f>AND(IF(predictwithfallbackConfidences!$E42=predictwithfallbackConfidences!$B42,1,0),IF(predictwithfallbackConfidences!$E42=Sheet1!C$2,1,0))</f>
        <v>0</v>
      </c>
      <c r="D42" t="b">
        <f>AND(IF(predictwithfallbackConfidences!$E42=predictwithfallbackConfidences!$B42,1,0),IF(predictwithfallbackConfidences!$E42=Sheet1!D$2,1,0))</f>
        <v>0</v>
      </c>
      <c r="F42" t="b">
        <f>AND(IF(predictwithfallbackConfidences!$E42=predictwithfallbackConfidences!$B42,0,1),IF(predictwithfallbackConfidences!$E42=Sheet1!A$2,1,0))</f>
        <v>1</v>
      </c>
      <c r="G42" t="b">
        <f>AND(IF(predictwithfallbackConfidences!$E42=predictwithfallbackConfidences!$B42,0,1),IF(predictwithfallbackConfidences!$E42=Sheet1!B$2,1,0))</f>
        <v>0</v>
      </c>
      <c r="H42" t="b">
        <f>AND(IF(predictwithfallbackConfidences!$E42=predictwithfallbackConfidences!$B42,0,1),IF(predictwithfallbackConfidences!$E42=Sheet1!C$2,1,0))</f>
        <v>0</v>
      </c>
      <c r="I42" t="b">
        <f>AND(IF(predictwithfallbackConfidences!$E42=predictwithfallbackConfidences!$B42,0,1),IF(predictwithfallbackConfidences!$E42=Sheet1!D$2,1,0))</f>
        <v>0</v>
      </c>
      <c r="K42" t="b">
        <f>AND(IF(predictwithfallbackConfidences!$E42=predictwithfallbackConfidences!$B42,0,1),IF(predictwithfallbackConfidences!$B42=Sheet1!A$2,1,0))</f>
        <v>0</v>
      </c>
      <c r="L42" t="b">
        <f>AND(IF(predictwithfallbackConfidences!$E42=predictwithfallbackConfidences!$B42,0,1),IF(predictwithfallbackConfidences!$B42=Sheet1!B$2,1,0))</f>
        <v>1</v>
      </c>
      <c r="M42" t="b">
        <f>AND(IF(predictwithfallbackConfidences!$E42=predictwithfallbackConfidences!$B42,0,1),IF(predictwithfallbackConfidences!$B42=Sheet1!C$2,1,0))</f>
        <v>0</v>
      </c>
      <c r="N42" t="b">
        <f>AND(IF(predictwithfallbackConfidences!$E42=predictwithfallbackConfidences!$B42,0,1),IF(predictwithfallbackConfidences!$B42=Sheet1!D$2,1,0))</f>
        <v>0</v>
      </c>
      <c r="Q42" t="b">
        <f>AND(IF(predictwithfallbackConfidences!$F42=predictwithfallbackConfidences!$B42,1,0),IF(predictwithfallbackConfidences!$F42=Sheet1!A$2,1,0))</f>
        <v>0</v>
      </c>
      <c r="R42" t="b">
        <f>AND(IF(predictwithfallbackConfidences!$F42=predictwithfallbackConfidences!$B42,1,0),IF(predictwithfallbackConfidences!$F42=Sheet1!B$2,1,0))</f>
        <v>1</v>
      </c>
      <c r="S42" t="b">
        <f>AND(IF(predictwithfallbackConfidences!$F42=predictwithfallbackConfidences!$B42,1,0),IF(predictwithfallbackConfidences!$F42=Sheet1!C$2,1,0))</f>
        <v>0</v>
      </c>
      <c r="T42" t="b">
        <f>AND(IF(predictwithfallbackConfidences!$F42=predictwithfallbackConfidences!$B42,1,0),IF(predictwithfallbackConfidences!$F42=Sheet1!D$2,1,0))</f>
        <v>0</v>
      </c>
      <c r="V42" t="b">
        <f>AND(IF(predictwithfallbackConfidences!$F42=predictwithfallbackConfidences!$B42,0,1),IF(predictwithfallbackConfidences!$F42=Sheet1!A$2,1,0))</f>
        <v>0</v>
      </c>
      <c r="W42" t="b">
        <f>AND(IF(predictwithfallbackConfidences!$F42=predictwithfallbackConfidences!$B42,0,1),IF(predictwithfallbackConfidences!$F42=Sheet1!B$2,1,0))</f>
        <v>0</v>
      </c>
      <c r="X42" t="b">
        <f>AND(IF(predictwithfallbackConfidences!$F42=predictwithfallbackConfidences!$B42,0,1),IF(predictwithfallbackConfidences!$F42=Sheet1!C$2,1,0))</f>
        <v>0</v>
      </c>
      <c r="Y42" t="b">
        <f>AND(IF(predictwithfallbackConfidences!$F42=predictwithfallbackConfidences!$B42,0,1),IF(predictwithfallbackConfidences!$F42=Sheet1!D$2,1,0))</f>
        <v>0</v>
      </c>
      <c r="AA42" t="b">
        <f>AND(IF(predictwithfallbackConfidences!$F42=predictwithfallbackConfidences!$B42,0,1),IF(predictwithfallbackConfidences!$B42=Sheet1!A$2,1,0))</f>
        <v>0</v>
      </c>
      <c r="AB42" t="b">
        <f>AND(IF(predictwithfallbackConfidences!$F42=predictwithfallbackConfidences!$B42,0,1),IF(predictwithfallbackConfidences!$B42=Sheet1!B$2,1,0))</f>
        <v>0</v>
      </c>
      <c r="AC42" t="b">
        <f>AND(IF(predictwithfallbackConfidences!$F42=predictwithfallbackConfidences!$B42,0,1),IF(predictwithfallbackConfidences!$B42=Sheet1!C$2,1,0))</f>
        <v>0</v>
      </c>
      <c r="AD42" t="b">
        <f>AND(IF(predictwithfallbackConfidences!$F42=predictwithfallbackConfidences!$B42,0,1),IF(predictwithfallbackConfidences!$B42=Sheet1!D$2,1,0))</f>
        <v>0</v>
      </c>
    </row>
    <row r="43" spans="1:30" x14ac:dyDescent="0.25">
      <c r="A43" t="b">
        <f>AND(IF(predictwithfallbackConfidences!$E43=predictwithfallbackConfidences!$B43,1,0),IF(predictwithfallbackConfidences!$E43=Sheet1!A$2,1,0))</f>
        <v>0</v>
      </c>
      <c r="B43" t="b">
        <f>AND(IF(predictwithfallbackConfidences!$E43=predictwithfallbackConfidences!$B43,1,0),IF(predictwithfallbackConfidences!$E43=Sheet1!B$2,1,0))</f>
        <v>0</v>
      </c>
      <c r="C43" t="b">
        <f>AND(IF(predictwithfallbackConfidences!$E43=predictwithfallbackConfidences!$B43,1,0),IF(predictwithfallbackConfidences!$E43=Sheet1!C$2,1,0))</f>
        <v>0</v>
      </c>
      <c r="D43" t="b">
        <f>AND(IF(predictwithfallbackConfidences!$E43=predictwithfallbackConfidences!$B43,1,0),IF(predictwithfallbackConfidences!$E43=Sheet1!D$2,1,0))</f>
        <v>0</v>
      </c>
      <c r="F43" t="b">
        <f>AND(IF(predictwithfallbackConfidences!$E43=predictwithfallbackConfidences!$B43,0,1),IF(predictwithfallbackConfidences!$E43=Sheet1!A$2,1,0))</f>
        <v>0</v>
      </c>
      <c r="G43" t="b">
        <f>AND(IF(predictwithfallbackConfidences!$E43=predictwithfallbackConfidences!$B43,0,1),IF(predictwithfallbackConfidences!$E43=Sheet1!B$2,1,0))</f>
        <v>0</v>
      </c>
      <c r="H43" t="b">
        <f>AND(IF(predictwithfallbackConfidences!$E43=predictwithfallbackConfidences!$B43,0,1),IF(predictwithfallbackConfidences!$E43=Sheet1!C$2,1,0))</f>
        <v>0</v>
      </c>
      <c r="I43" t="b">
        <f>AND(IF(predictwithfallbackConfidences!$E43=predictwithfallbackConfidences!$B43,0,1),IF(predictwithfallbackConfidences!$E43=Sheet1!D$2,1,0))</f>
        <v>1</v>
      </c>
      <c r="K43" t="b">
        <f>AND(IF(predictwithfallbackConfidences!$E43=predictwithfallbackConfidences!$B43,0,1),IF(predictwithfallbackConfidences!$B43=Sheet1!A$2,1,0))</f>
        <v>1</v>
      </c>
      <c r="L43" t="b">
        <f>AND(IF(predictwithfallbackConfidences!$E43=predictwithfallbackConfidences!$B43,0,1),IF(predictwithfallbackConfidences!$B43=Sheet1!B$2,1,0))</f>
        <v>0</v>
      </c>
      <c r="M43" t="b">
        <f>AND(IF(predictwithfallbackConfidences!$E43=predictwithfallbackConfidences!$B43,0,1),IF(predictwithfallbackConfidences!$B43=Sheet1!C$2,1,0))</f>
        <v>0</v>
      </c>
      <c r="N43" t="b">
        <f>AND(IF(predictwithfallbackConfidences!$E43=predictwithfallbackConfidences!$B43,0,1),IF(predictwithfallbackConfidences!$B43=Sheet1!D$2,1,0))</f>
        <v>0</v>
      </c>
      <c r="Q43" t="b">
        <f>AND(IF(predictwithfallbackConfidences!$F43=predictwithfallbackConfidences!$B43,1,0),IF(predictwithfallbackConfidences!$F43=Sheet1!A$2,1,0))</f>
        <v>0</v>
      </c>
      <c r="R43" t="b">
        <f>AND(IF(predictwithfallbackConfidences!$F43=predictwithfallbackConfidences!$B43,1,0),IF(predictwithfallbackConfidences!$F43=Sheet1!B$2,1,0))</f>
        <v>0</v>
      </c>
      <c r="S43" t="b">
        <f>AND(IF(predictwithfallbackConfidences!$F43=predictwithfallbackConfidences!$B43,1,0),IF(predictwithfallbackConfidences!$F43=Sheet1!C$2,1,0))</f>
        <v>0</v>
      </c>
      <c r="T43" t="b">
        <f>AND(IF(predictwithfallbackConfidences!$F43=predictwithfallbackConfidences!$B43,1,0),IF(predictwithfallbackConfidences!$F43=Sheet1!D$2,1,0))</f>
        <v>0</v>
      </c>
      <c r="V43" t="b">
        <f>AND(IF(predictwithfallbackConfidences!$F43=predictwithfallbackConfidences!$B43,0,1),IF(predictwithfallbackConfidences!$F43=Sheet1!A$2,1,0))</f>
        <v>0</v>
      </c>
      <c r="W43" t="b">
        <f>AND(IF(predictwithfallbackConfidences!$F43=predictwithfallbackConfidences!$B43,0,1),IF(predictwithfallbackConfidences!$F43=Sheet1!B$2,1,0))</f>
        <v>0</v>
      </c>
      <c r="X43" t="b">
        <f>AND(IF(predictwithfallbackConfidences!$F43=predictwithfallbackConfidences!$B43,0,1),IF(predictwithfallbackConfidences!$F43=Sheet1!C$2,1,0))</f>
        <v>0</v>
      </c>
      <c r="Y43" t="b">
        <f>AND(IF(predictwithfallbackConfidences!$F43=predictwithfallbackConfidences!$B43,0,1),IF(predictwithfallbackConfidences!$F43=Sheet1!D$2,1,0))</f>
        <v>1</v>
      </c>
      <c r="AA43" t="b">
        <f>AND(IF(predictwithfallbackConfidences!$F43=predictwithfallbackConfidences!$B43,0,1),IF(predictwithfallbackConfidences!$B43=Sheet1!A$2,1,0))</f>
        <v>1</v>
      </c>
      <c r="AB43" t="b">
        <f>AND(IF(predictwithfallbackConfidences!$F43=predictwithfallbackConfidences!$B43,0,1),IF(predictwithfallbackConfidences!$B43=Sheet1!B$2,1,0))</f>
        <v>0</v>
      </c>
      <c r="AC43" t="b">
        <f>AND(IF(predictwithfallbackConfidences!$F43=predictwithfallbackConfidences!$B43,0,1),IF(predictwithfallbackConfidences!$B43=Sheet1!C$2,1,0))</f>
        <v>0</v>
      </c>
      <c r="AD43" t="b">
        <f>AND(IF(predictwithfallbackConfidences!$F43=predictwithfallbackConfidences!$B43,0,1),IF(predictwithfallbackConfidences!$B43=Sheet1!D$2,1,0))</f>
        <v>0</v>
      </c>
    </row>
    <row r="44" spans="1:30" x14ac:dyDescent="0.25">
      <c r="A44" t="b">
        <f>AND(IF(predictwithfallbackConfidences!$E44=predictwithfallbackConfidences!$B44,1,0),IF(predictwithfallbackConfidences!$E44=Sheet1!A$2,1,0))</f>
        <v>1</v>
      </c>
      <c r="B44" t="b">
        <f>AND(IF(predictwithfallbackConfidences!$E44=predictwithfallbackConfidences!$B44,1,0),IF(predictwithfallbackConfidences!$E44=Sheet1!B$2,1,0))</f>
        <v>0</v>
      </c>
      <c r="C44" t="b">
        <f>AND(IF(predictwithfallbackConfidences!$E44=predictwithfallbackConfidences!$B44,1,0),IF(predictwithfallbackConfidences!$E44=Sheet1!C$2,1,0))</f>
        <v>0</v>
      </c>
      <c r="D44" t="b">
        <f>AND(IF(predictwithfallbackConfidences!$E44=predictwithfallbackConfidences!$B44,1,0),IF(predictwithfallbackConfidences!$E44=Sheet1!D$2,1,0))</f>
        <v>0</v>
      </c>
      <c r="F44" t="b">
        <f>AND(IF(predictwithfallbackConfidences!$E44=predictwithfallbackConfidences!$B44,0,1),IF(predictwithfallbackConfidences!$E44=Sheet1!A$2,1,0))</f>
        <v>0</v>
      </c>
      <c r="G44" t="b">
        <f>AND(IF(predictwithfallbackConfidences!$E44=predictwithfallbackConfidences!$B44,0,1),IF(predictwithfallbackConfidences!$E44=Sheet1!B$2,1,0))</f>
        <v>0</v>
      </c>
      <c r="H44" t="b">
        <f>AND(IF(predictwithfallbackConfidences!$E44=predictwithfallbackConfidences!$B44,0,1),IF(predictwithfallbackConfidences!$E44=Sheet1!C$2,1,0))</f>
        <v>0</v>
      </c>
      <c r="I44" t="b">
        <f>AND(IF(predictwithfallbackConfidences!$E44=predictwithfallbackConfidences!$B44,0,1),IF(predictwithfallbackConfidences!$E44=Sheet1!D$2,1,0))</f>
        <v>0</v>
      </c>
      <c r="K44" t="b">
        <f>AND(IF(predictwithfallbackConfidences!$E44=predictwithfallbackConfidences!$B44,0,1),IF(predictwithfallbackConfidences!$B44=Sheet1!A$2,1,0))</f>
        <v>0</v>
      </c>
      <c r="L44" t="b">
        <f>AND(IF(predictwithfallbackConfidences!$E44=predictwithfallbackConfidences!$B44,0,1),IF(predictwithfallbackConfidences!$B44=Sheet1!B$2,1,0))</f>
        <v>0</v>
      </c>
      <c r="M44" t="b">
        <f>AND(IF(predictwithfallbackConfidences!$E44=predictwithfallbackConfidences!$B44,0,1),IF(predictwithfallbackConfidences!$B44=Sheet1!C$2,1,0))</f>
        <v>0</v>
      </c>
      <c r="N44" t="b">
        <f>AND(IF(predictwithfallbackConfidences!$E44=predictwithfallbackConfidences!$B44,0,1),IF(predictwithfallbackConfidences!$B44=Sheet1!D$2,1,0))</f>
        <v>0</v>
      </c>
      <c r="Q44" t="b">
        <f>AND(IF(predictwithfallbackConfidences!$F44=predictwithfallbackConfidences!$B44,1,0),IF(predictwithfallbackConfidences!$F44=Sheet1!A$2,1,0))</f>
        <v>1</v>
      </c>
      <c r="R44" t="b">
        <f>AND(IF(predictwithfallbackConfidences!$F44=predictwithfallbackConfidences!$B44,1,0),IF(predictwithfallbackConfidences!$F44=Sheet1!B$2,1,0))</f>
        <v>0</v>
      </c>
      <c r="S44" t="b">
        <f>AND(IF(predictwithfallbackConfidences!$F44=predictwithfallbackConfidences!$B44,1,0),IF(predictwithfallbackConfidences!$F44=Sheet1!C$2,1,0))</f>
        <v>0</v>
      </c>
      <c r="T44" t="b">
        <f>AND(IF(predictwithfallbackConfidences!$F44=predictwithfallbackConfidences!$B44,1,0),IF(predictwithfallbackConfidences!$F44=Sheet1!D$2,1,0))</f>
        <v>0</v>
      </c>
      <c r="V44" t="b">
        <f>AND(IF(predictwithfallbackConfidences!$F44=predictwithfallbackConfidences!$B44,0,1),IF(predictwithfallbackConfidences!$F44=Sheet1!A$2,1,0))</f>
        <v>0</v>
      </c>
      <c r="W44" t="b">
        <f>AND(IF(predictwithfallbackConfidences!$F44=predictwithfallbackConfidences!$B44,0,1),IF(predictwithfallbackConfidences!$F44=Sheet1!B$2,1,0))</f>
        <v>0</v>
      </c>
      <c r="X44" t="b">
        <f>AND(IF(predictwithfallbackConfidences!$F44=predictwithfallbackConfidences!$B44,0,1),IF(predictwithfallbackConfidences!$F44=Sheet1!C$2,1,0))</f>
        <v>0</v>
      </c>
      <c r="Y44" t="b">
        <f>AND(IF(predictwithfallbackConfidences!$F44=predictwithfallbackConfidences!$B44,0,1),IF(predictwithfallbackConfidences!$F44=Sheet1!D$2,1,0))</f>
        <v>0</v>
      </c>
      <c r="AA44" t="b">
        <f>AND(IF(predictwithfallbackConfidences!$F44=predictwithfallbackConfidences!$B44,0,1),IF(predictwithfallbackConfidences!$B44=Sheet1!A$2,1,0))</f>
        <v>0</v>
      </c>
      <c r="AB44" t="b">
        <f>AND(IF(predictwithfallbackConfidences!$F44=predictwithfallbackConfidences!$B44,0,1),IF(predictwithfallbackConfidences!$B44=Sheet1!B$2,1,0))</f>
        <v>0</v>
      </c>
      <c r="AC44" t="b">
        <f>AND(IF(predictwithfallbackConfidences!$F44=predictwithfallbackConfidences!$B44,0,1),IF(predictwithfallbackConfidences!$B44=Sheet1!C$2,1,0))</f>
        <v>0</v>
      </c>
      <c r="AD44" t="b">
        <f>AND(IF(predictwithfallbackConfidences!$F44=predictwithfallbackConfidences!$B44,0,1),IF(predictwithfallbackConfidences!$B44=Sheet1!D$2,1,0))</f>
        <v>0</v>
      </c>
    </row>
    <row r="45" spans="1:30" x14ac:dyDescent="0.25">
      <c r="A45" t="b">
        <f>AND(IF(predictwithfallbackConfidences!$E45=predictwithfallbackConfidences!$B45,1,0),IF(predictwithfallbackConfidences!$E45=Sheet1!A$2,1,0))</f>
        <v>0</v>
      </c>
      <c r="B45" t="b">
        <f>AND(IF(predictwithfallbackConfidences!$E45=predictwithfallbackConfidences!$B45,1,0),IF(predictwithfallbackConfidences!$E45=Sheet1!B$2,1,0))</f>
        <v>0</v>
      </c>
      <c r="C45" t="b">
        <f>AND(IF(predictwithfallbackConfidences!$E45=predictwithfallbackConfidences!$B45,1,0),IF(predictwithfallbackConfidences!$E45=Sheet1!C$2,1,0))</f>
        <v>0</v>
      </c>
      <c r="D45" t="b">
        <f>AND(IF(predictwithfallbackConfidences!$E45=predictwithfallbackConfidences!$B45,1,0),IF(predictwithfallbackConfidences!$E45=Sheet1!D$2,1,0))</f>
        <v>0</v>
      </c>
      <c r="F45" t="b">
        <f>AND(IF(predictwithfallbackConfidences!$E45=predictwithfallbackConfidences!$B45,0,1),IF(predictwithfallbackConfidences!$E45=Sheet1!A$2,1,0))</f>
        <v>0</v>
      </c>
      <c r="G45" t="b">
        <f>AND(IF(predictwithfallbackConfidences!$E45=predictwithfallbackConfidences!$B45,0,1),IF(predictwithfallbackConfidences!$E45=Sheet1!B$2,1,0))</f>
        <v>0</v>
      </c>
      <c r="H45" t="b">
        <f>AND(IF(predictwithfallbackConfidences!$E45=predictwithfallbackConfidences!$B45,0,1),IF(predictwithfallbackConfidences!$E45=Sheet1!C$2,1,0))</f>
        <v>0</v>
      </c>
      <c r="I45" t="b">
        <f>AND(IF(predictwithfallbackConfidences!$E45=predictwithfallbackConfidences!$B45,0,1),IF(predictwithfallbackConfidences!$E45=Sheet1!D$2,1,0))</f>
        <v>1</v>
      </c>
      <c r="K45" t="b">
        <f>AND(IF(predictwithfallbackConfidences!$E45=predictwithfallbackConfidences!$B45,0,1),IF(predictwithfallbackConfidences!$B45=Sheet1!A$2,1,0))</f>
        <v>1</v>
      </c>
      <c r="L45" t="b">
        <f>AND(IF(predictwithfallbackConfidences!$E45=predictwithfallbackConfidences!$B45,0,1),IF(predictwithfallbackConfidences!$B45=Sheet1!B$2,1,0))</f>
        <v>0</v>
      </c>
      <c r="M45" t="b">
        <f>AND(IF(predictwithfallbackConfidences!$E45=predictwithfallbackConfidences!$B45,0,1),IF(predictwithfallbackConfidences!$B45=Sheet1!C$2,1,0))</f>
        <v>0</v>
      </c>
      <c r="N45" t="b">
        <f>AND(IF(predictwithfallbackConfidences!$E45=predictwithfallbackConfidences!$B45,0,1),IF(predictwithfallbackConfidences!$B45=Sheet1!D$2,1,0))</f>
        <v>0</v>
      </c>
      <c r="Q45" t="b">
        <f>AND(IF(predictwithfallbackConfidences!$F45=predictwithfallbackConfidences!$B45,1,0),IF(predictwithfallbackConfidences!$F45=Sheet1!A$2,1,0))</f>
        <v>0</v>
      </c>
      <c r="R45" t="b">
        <f>AND(IF(predictwithfallbackConfidences!$F45=predictwithfallbackConfidences!$B45,1,0),IF(predictwithfallbackConfidences!$F45=Sheet1!B$2,1,0))</f>
        <v>0</v>
      </c>
      <c r="S45" t="b">
        <f>AND(IF(predictwithfallbackConfidences!$F45=predictwithfallbackConfidences!$B45,1,0),IF(predictwithfallbackConfidences!$F45=Sheet1!C$2,1,0))</f>
        <v>0</v>
      </c>
      <c r="T45" t="b">
        <f>AND(IF(predictwithfallbackConfidences!$F45=predictwithfallbackConfidences!$B45,1,0),IF(predictwithfallbackConfidences!$F45=Sheet1!D$2,1,0))</f>
        <v>0</v>
      </c>
      <c r="V45" t="b">
        <f>AND(IF(predictwithfallbackConfidences!$F45=predictwithfallbackConfidences!$B45,0,1),IF(predictwithfallbackConfidences!$F45=Sheet1!A$2,1,0))</f>
        <v>0</v>
      </c>
      <c r="W45" t="b">
        <f>AND(IF(predictwithfallbackConfidences!$F45=predictwithfallbackConfidences!$B45,0,1),IF(predictwithfallbackConfidences!$F45=Sheet1!B$2,1,0))</f>
        <v>0</v>
      </c>
      <c r="X45" t="b">
        <f>AND(IF(predictwithfallbackConfidences!$F45=predictwithfallbackConfidences!$B45,0,1),IF(predictwithfallbackConfidences!$F45=Sheet1!C$2,1,0))</f>
        <v>0</v>
      </c>
      <c r="Y45" t="b">
        <f>AND(IF(predictwithfallbackConfidences!$F45=predictwithfallbackConfidences!$B45,0,1),IF(predictwithfallbackConfidences!$F45=Sheet1!D$2,1,0))</f>
        <v>1</v>
      </c>
      <c r="AA45" t="b">
        <f>AND(IF(predictwithfallbackConfidences!$F45=predictwithfallbackConfidences!$B45,0,1),IF(predictwithfallbackConfidences!$B45=Sheet1!A$2,1,0))</f>
        <v>1</v>
      </c>
      <c r="AB45" t="b">
        <f>AND(IF(predictwithfallbackConfidences!$F45=predictwithfallbackConfidences!$B45,0,1),IF(predictwithfallbackConfidences!$B45=Sheet1!B$2,1,0))</f>
        <v>0</v>
      </c>
      <c r="AC45" t="b">
        <f>AND(IF(predictwithfallbackConfidences!$F45=predictwithfallbackConfidences!$B45,0,1),IF(predictwithfallbackConfidences!$B45=Sheet1!C$2,1,0))</f>
        <v>0</v>
      </c>
      <c r="AD45" t="b">
        <f>AND(IF(predictwithfallbackConfidences!$F45=predictwithfallbackConfidences!$B45,0,1),IF(predictwithfallbackConfidences!$B45=Sheet1!D$2,1,0))</f>
        <v>0</v>
      </c>
    </row>
    <row r="46" spans="1:30" x14ac:dyDescent="0.25">
      <c r="A46" t="b">
        <f>AND(IF(predictwithfallbackConfidences!$E46=predictwithfallbackConfidences!$B46,1,0),IF(predictwithfallbackConfidences!$E46=Sheet1!A$2,1,0))</f>
        <v>0</v>
      </c>
      <c r="B46" t="b">
        <f>AND(IF(predictwithfallbackConfidences!$E46=predictwithfallbackConfidences!$B46,1,0),IF(predictwithfallbackConfidences!$E46=Sheet1!B$2,1,0))</f>
        <v>0</v>
      </c>
      <c r="C46" t="b">
        <f>AND(IF(predictwithfallbackConfidences!$E46=predictwithfallbackConfidences!$B46,1,0),IF(predictwithfallbackConfidences!$E46=Sheet1!C$2,1,0))</f>
        <v>0</v>
      </c>
      <c r="D46" t="b">
        <f>AND(IF(predictwithfallbackConfidences!$E46=predictwithfallbackConfidences!$B46,1,0),IF(predictwithfallbackConfidences!$E46=Sheet1!D$2,1,0))</f>
        <v>0</v>
      </c>
      <c r="F46" t="b">
        <f>AND(IF(predictwithfallbackConfidences!$E46=predictwithfallbackConfidences!$B46,0,1),IF(predictwithfallbackConfidences!$E46=Sheet1!A$2,1,0))</f>
        <v>0</v>
      </c>
      <c r="G46" t="b">
        <f>AND(IF(predictwithfallbackConfidences!$E46=predictwithfallbackConfidences!$B46,0,1),IF(predictwithfallbackConfidences!$E46=Sheet1!B$2,1,0))</f>
        <v>1</v>
      </c>
      <c r="H46" t="b">
        <f>AND(IF(predictwithfallbackConfidences!$E46=predictwithfallbackConfidences!$B46,0,1),IF(predictwithfallbackConfidences!$E46=Sheet1!C$2,1,0))</f>
        <v>0</v>
      </c>
      <c r="I46" t="b">
        <f>AND(IF(predictwithfallbackConfidences!$E46=predictwithfallbackConfidences!$B46,0,1),IF(predictwithfallbackConfidences!$E46=Sheet1!D$2,1,0))</f>
        <v>0</v>
      </c>
      <c r="K46" t="b">
        <f>AND(IF(predictwithfallbackConfidences!$E46=predictwithfallbackConfidences!$B46,0,1),IF(predictwithfallbackConfidences!$B46=Sheet1!A$2,1,0))</f>
        <v>1</v>
      </c>
      <c r="L46" t="b">
        <f>AND(IF(predictwithfallbackConfidences!$E46=predictwithfallbackConfidences!$B46,0,1),IF(predictwithfallbackConfidences!$B46=Sheet1!B$2,1,0))</f>
        <v>0</v>
      </c>
      <c r="M46" t="b">
        <f>AND(IF(predictwithfallbackConfidences!$E46=predictwithfallbackConfidences!$B46,0,1),IF(predictwithfallbackConfidences!$B46=Sheet1!C$2,1,0))</f>
        <v>0</v>
      </c>
      <c r="N46" t="b">
        <f>AND(IF(predictwithfallbackConfidences!$E46=predictwithfallbackConfidences!$B46,0,1),IF(predictwithfallbackConfidences!$B46=Sheet1!D$2,1,0))</f>
        <v>0</v>
      </c>
      <c r="Q46" t="b">
        <f>AND(IF(predictwithfallbackConfidences!$F46=predictwithfallbackConfidences!$B46,1,0),IF(predictwithfallbackConfidences!$F46=Sheet1!A$2,1,0))</f>
        <v>0</v>
      </c>
      <c r="R46" t="b">
        <f>AND(IF(predictwithfallbackConfidences!$F46=predictwithfallbackConfidences!$B46,1,0),IF(predictwithfallbackConfidences!$F46=Sheet1!B$2,1,0))</f>
        <v>0</v>
      </c>
      <c r="S46" t="b">
        <f>AND(IF(predictwithfallbackConfidences!$F46=predictwithfallbackConfidences!$B46,1,0),IF(predictwithfallbackConfidences!$F46=Sheet1!C$2,1,0))</f>
        <v>0</v>
      </c>
      <c r="T46" t="b">
        <f>AND(IF(predictwithfallbackConfidences!$F46=predictwithfallbackConfidences!$B46,1,0),IF(predictwithfallbackConfidences!$F46=Sheet1!D$2,1,0))</f>
        <v>0</v>
      </c>
      <c r="V46" t="b">
        <f>AND(IF(predictwithfallbackConfidences!$F46=predictwithfallbackConfidences!$B46,0,1),IF(predictwithfallbackConfidences!$F46=Sheet1!A$2,1,0))</f>
        <v>0</v>
      </c>
      <c r="W46" t="b">
        <f>AND(IF(predictwithfallbackConfidences!$F46=predictwithfallbackConfidences!$B46,0,1),IF(predictwithfallbackConfidences!$F46=Sheet1!B$2,1,0))</f>
        <v>1</v>
      </c>
      <c r="X46" t="b">
        <f>AND(IF(predictwithfallbackConfidences!$F46=predictwithfallbackConfidences!$B46,0,1),IF(predictwithfallbackConfidences!$F46=Sheet1!C$2,1,0))</f>
        <v>0</v>
      </c>
      <c r="Y46" t="b">
        <f>AND(IF(predictwithfallbackConfidences!$F46=predictwithfallbackConfidences!$B46,0,1),IF(predictwithfallbackConfidences!$F46=Sheet1!D$2,1,0))</f>
        <v>0</v>
      </c>
      <c r="AA46" t="b">
        <f>AND(IF(predictwithfallbackConfidences!$F46=predictwithfallbackConfidences!$B46,0,1),IF(predictwithfallbackConfidences!$B46=Sheet1!A$2,1,0))</f>
        <v>1</v>
      </c>
      <c r="AB46" t="b">
        <f>AND(IF(predictwithfallbackConfidences!$F46=predictwithfallbackConfidences!$B46,0,1),IF(predictwithfallbackConfidences!$B46=Sheet1!B$2,1,0))</f>
        <v>0</v>
      </c>
      <c r="AC46" t="b">
        <f>AND(IF(predictwithfallbackConfidences!$F46=predictwithfallbackConfidences!$B46,0,1),IF(predictwithfallbackConfidences!$B46=Sheet1!C$2,1,0))</f>
        <v>0</v>
      </c>
      <c r="AD46" t="b">
        <f>AND(IF(predictwithfallbackConfidences!$F46=predictwithfallbackConfidences!$B46,0,1),IF(predictwithfallbackConfidences!$B46=Sheet1!D$2,1,0))</f>
        <v>0</v>
      </c>
    </row>
    <row r="47" spans="1:30" x14ac:dyDescent="0.25">
      <c r="A47" t="b">
        <f>AND(IF(predictwithfallbackConfidences!$E47=predictwithfallbackConfidences!$B47,1,0),IF(predictwithfallbackConfidences!$E47=Sheet1!A$2,1,0))</f>
        <v>1</v>
      </c>
      <c r="B47" t="b">
        <f>AND(IF(predictwithfallbackConfidences!$E47=predictwithfallbackConfidences!$B47,1,0),IF(predictwithfallbackConfidences!$E47=Sheet1!B$2,1,0))</f>
        <v>0</v>
      </c>
      <c r="C47" t="b">
        <f>AND(IF(predictwithfallbackConfidences!$E47=predictwithfallbackConfidences!$B47,1,0),IF(predictwithfallbackConfidences!$E47=Sheet1!C$2,1,0))</f>
        <v>0</v>
      </c>
      <c r="D47" t="b">
        <f>AND(IF(predictwithfallbackConfidences!$E47=predictwithfallbackConfidences!$B47,1,0),IF(predictwithfallbackConfidences!$E47=Sheet1!D$2,1,0))</f>
        <v>0</v>
      </c>
      <c r="F47" t="b">
        <f>AND(IF(predictwithfallbackConfidences!$E47=predictwithfallbackConfidences!$B47,0,1),IF(predictwithfallbackConfidences!$E47=Sheet1!A$2,1,0))</f>
        <v>0</v>
      </c>
      <c r="G47" t="b">
        <f>AND(IF(predictwithfallbackConfidences!$E47=predictwithfallbackConfidences!$B47,0,1),IF(predictwithfallbackConfidences!$E47=Sheet1!B$2,1,0))</f>
        <v>0</v>
      </c>
      <c r="H47" t="b">
        <f>AND(IF(predictwithfallbackConfidences!$E47=predictwithfallbackConfidences!$B47,0,1),IF(predictwithfallbackConfidences!$E47=Sheet1!C$2,1,0))</f>
        <v>0</v>
      </c>
      <c r="I47" t="b">
        <f>AND(IF(predictwithfallbackConfidences!$E47=predictwithfallbackConfidences!$B47,0,1),IF(predictwithfallbackConfidences!$E47=Sheet1!D$2,1,0))</f>
        <v>0</v>
      </c>
      <c r="K47" t="b">
        <f>AND(IF(predictwithfallbackConfidences!$E47=predictwithfallbackConfidences!$B47,0,1),IF(predictwithfallbackConfidences!$B47=Sheet1!A$2,1,0))</f>
        <v>0</v>
      </c>
      <c r="L47" t="b">
        <f>AND(IF(predictwithfallbackConfidences!$E47=predictwithfallbackConfidences!$B47,0,1),IF(predictwithfallbackConfidences!$B47=Sheet1!B$2,1,0))</f>
        <v>0</v>
      </c>
      <c r="M47" t="b">
        <f>AND(IF(predictwithfallbackConfidences!$E47=predictwithfallbackConfidences!$B47,0,1),IF(predictwithfallbackConfidences!$B47=Sheet1!C$2,1,0))</f>
        <v>0</v>
      </c>
      <c r="N47" t="b">
        <f>AND(IF(predictwithfallbackConfidences!$E47=predictwithfallbackConfidences!$B47,0,1),IF(predictwithfallbackConfidences!$B47=Sheet1!D$2,1,0))</f>
        <v>0</v>
      </c>
      <c r="Q47" t="b">
        <f>AND(IF(predictwithfallbackConfidences!$F47=predictwithfallbackConfidences!$B47,1,0),IF(predictwithfallbackConfidences!$F47=Sheet1!A$2,1,0))</f>
        <v>1</v>
      </c>
      <c r="R47" t="b">
        <f>AND(IF(predictwithfallbackConfidences!$F47=predictwithfallbackConfidences!$B47,1,0),IF(predictwithfallbackConfidences!$F47=Sheet1!B$2,1,0))</f>
        <v>0</v>
      </c>
      <c r="S47" t="b">
        <f>AND(IF(predictwithfallbackConfidences!$F47=predictwithfallbackConfidences!$B47,1,0),IF(predictwithfallbackConfidences!$F47=Sheet1!C$2,1,0))</f>
        <v>0</v>
      </c>
      <c r="T47" t="b">
        <f>AND(IF(predictwithfallbackConfidences!$F47=predictwithfallbackConfidences!$B47,1,0),IF(predictwithfallbackConfidences!$F47=Sheet1!D$2,1,0))</f>
        <v>0</v>
      </c>
      <c r="V47" t="b">
        <f>AND(IF(predictwithfallbackConfidences!$F47=predictwithfallbackConfidences!$B47,0,1),IF(predictwithfallbackConfidences!$F47=Sheet1!A$2,1,0))</f>
        <v>0</v>
      </c>
      <c r="W47" t="b">
        <f>AND(IF(predictwithfallbackConfidences!$F47=predictwithfallbackConfidences!$B47,0,1),IF(predictwithfallbackConfidences!$F47=Sheet1!B$2,1,0))</f>
        <v>0</v>
      </c>
      <c r="X47" t="b">
        <f>AND(IF(predictwithfallbackConfidences!$F47=predictwithfallbackConfidences!$B47,0,1),IF(predictwithfallbackConfidences!$F47=Sheet1!C$2,1,0))</f>
        <v>0</v>
      </c>
      <c r="Y47" t="b">
        <f>AND(IF(predictwithfallbackConfidences!$F47=predictwithfallbackConfidences!$B47,0,1),IF(predictwithfallbackConfidences!$F47=Sheet1!D$2,1,0))</f>
        <v>0</v>
      </c>
      <c r="AA47" t="b">
        <f>AND(IF(predictwithfallbackConfidences!$F47=predictwithfallbackConfidences!$B47,0,1),IF(predictwithfallbackConfidences!$B47=Sheet1!A$2,1,0))</f>
        <v>0</v>
      </c>
      <c r="AB47" t="b">
        <f>AND(IF(predictwithfallbackConfidences!$F47=predictwithfallbackConfidences!$B47,0,1),IF(predictwithfallbackConfidences!$B47=Sheet1!B$2,1,0))</f>
        <v>0</v>
      </c>
      <c r="AC47" t="b">
        <f>AND(IF(predictwithfallbackConfidences!$F47=predictwithfallbackConfidences!$B47,0,1),IF(predictwithfallbackConfidences!$B47=Sheet1!C$2,1,0))</f>
        <v>0</v>
      </c>
      <c r="AD47" t="b">
        <f>AND(IF(predictwithfallbackConfidences!$F47=predictwithfallbackConfidences!$B47,0,1),IF(predictwithfallbackConfidences!$B47=Sheet1!D$2,1,0))</f>
        <v>0</v>
      </c>
    </row>
    <row r="48" spans="1:30" x14ac:dyDescent="0.25">
      <c r="A48" t="b">
        <f>AND(IF(predictwithfallbackConfidences!$E48=predictwithfallbackConfidences!$B48,1,0),IF(predictwithfallbackConfidences!$E48=Sheet1!A$2,1,0))</f>
        <v>0</v>
      </c>
      <c r="B48" t="b">
        <f>AND(IF(predictwithfallbackConfidences!$E48=predictwithfallbackConfidences!$B48,1,0),IF(predictwithfallbackConfidences!$E48=Sheet1!B$2,1,0))</f>
        <v>0</v>
      </c>
      <c r="C48" t="b">
        <f>AND(IF(predictwithfallbackConfidences!$E48=predictwithfallbackConfidences!$B48,1,0),IF(predictwithfallbackConfidences!$E48=Sheet1!C$2,1,0))</f>
        <v>1</v>
      </c>
      <c r="D48" t="b">
        <f>AND(IF(predictwithfallbackConfidences!$E48=predictwithfallbackConfidences!$B48,1,0),IF(predictwithfallbackConfidences!$E48=Sheet1!D$2,1,0))</f>
        <v>0</v>
      </c>
      <c r="F48" t="b">
        <f>AND(IF(predictwithfallbackConfidences!$E48=predictwithfallbackConfidences!$B48,0,1),IF(predictwithfallbackConfidences!$E48=Sheet1!A$2,1,0))</f>
        <v>0</v>
      </c>
      <c r="G48" t="b">
        <f>AND(IF(predictwithfallbackConfidences!$E48=predictwithfallbackConfidences!$B48,0,1),IF(predictwithfallbackConfidences!$E48=Sheet1!B$2,1,0))</f>
        <v>0</v>
      </c>
      <c r="H48" t="b">
        <f>AND(IF(predictwithfallbackConfidences!$E48=predictwithfallbackConfidences!$B48,0,1),IF(predictwithfallbackConfidences!$E48=Sheet1!C$2,1,0))</f>
        <v>0</v>
      </c>
      <c r="I48" t="b">
        <f>AND(IF(predictwithfallbackConfidences!$E48=predictwithfallbackConfidences!$B48,0,1),IF(predictwithfallbackConfidences!$E48=Sheet1!D$2,1,0))</f>
        <v>0</v>
      </c>
      <c r="K48" t="b">
        <f>AND(IF(predictwithfallbackConfidences!$E48=predictwithfallbackConfidences!$B48,0,1),IF(predictwithfallbackConfidences!$B48=Sheet1!A$2,1,0))</f>
        <v>0</v>
      </c>
      <c r="L48" t="b">
        <f>AND(IF(predictwithfallbackConfidences!$E48=predictwithfallbackConfidences!$B48,0,1),IF(predictwithfallbackConfidences!$B48=Sheet1!B$2,1,0))</f>
        <v>0</v>
      </c>
      <c r="M48" t="b">
        <f>AND(IF(predictwithfallbackConfidences!$E48=predictwithfallbackConfidences!$B48,0,1),IF(predictwithfallbackConfidences!$B48=Sheet1!C$2,1,0))</f>
        <v>0</v>
      </c>
      <c r="N48" t="b">
        <f>AND(IF(predictwithfallbackConfidences!$E48=predictwithfallbackConfidences!$B48,0,1),IF(predictwithfallbackConfidences!$B48=Sheet1!D$2,1,0))</f>
        <v>0</v>
      </c>
      <c r="Q48" t="b">
        <f>AND(IF(predictwithfallbackConfidences!$F48=predictwithfallbackConfidences!$B48,1,0),IF(predictwithfallbackConfidences!$F48=Sheet1!A$2,1,0))</f>
        <v>0</v>
      </c>
      <c r="R48" t="b">
        <f>AND(IF(predictwithfallbackConfidences!$F48=predictwithfallbackConfidences!$B48,1,0),IF(predictwithfallbackConfidences!$F48=Sheet1!B$2,1,0))</f>
        <v>0</v>
      </c>
      <c r="S48" t="b">
        <f>AND(IF(predictwithfallbackConfidences!$F48=predictwithfallbackConfidences!$B48,1,0),IF(predictwithfallbackConfidences!$F48=Sheet1!C$2,1,0))</f>
        <v>1</v>
      </c>
      <c r="T48" t="b">
        <f>AND(IF(predictwithfallbackConfidences!$F48=predictwithfallbackConfidences!$B48,1,0),IF(predictwithfallbackConfidences!$F48=Sheet1!D$2,1,0))</f>
        <v>0</v>
      </c>
      <c r="V48" t="b">
        <f>AND(IF(predictwithfallbackConfidences!$F48=predictwithfallbackConfidences!$B48,0,1),IF(predictwithfallbackConfidences!$F48=Sheet1!A$2,1,0))</f>
        <v>0</v>
      </c>
      <c r="W48" t="b">
        <f>AND(IF(predictwithfallbackConfidences!$F48=predictwithfallbackConfidences!$B48,0,1),IF(predictwithfallbackConfidences!$F48=Sheet1!B$2,1,0))</f>
        <v>0</v>
      </c>
      <c r="X48" t="b">
        <f>AND(IF(predictwithfallbackConfidences!$F48=predictwithfallbackConfidences!$B48,0,1),IF(predictwithfallbackConfidences!$F48=Sheet1!C$2,1,0))</f>
        <v>0</v>
      </c>
      <c r="Y48" t="b">
        <f>AND(IF(predictwithfallbackConfidences!$F48=predictwithfallbackConfidences!$B48,0,1),IF(predictwithfallbackConfidences!$F48=Sheet1!D$2,1,0))</f>
        <v>0</v>
      </c>
      <c r="AA48" t="b">
        <f>AND(IF(predictwithfallbackConfidences!$F48=predictwithfallbackConfidences!$B48,0,1),IF(predictwithfallbackConfidences!$B48=Sheet1!A$2,1,0))</f>
        <v>0</v>
      </c>
      <c r="AB48" t="b">
        <f>AND(IF(predictwithfallbackConfidences!$F48=predictwithfallbackConfidences!$B48,0,1),IF(predictwithfallbackConfidences!$B48=Sheet1!B$2,1,0))</f>
        <v>0</v>
      </c>
      <c r="AC48" t="b">
        <f>AND(IF(predictwithfallbackConfidences!$F48=predictwithfallbackConfidences!$B48,0,1),IF(predictwithfallbackConfidences!$B48=Sheet1!C$2,1,0))</f>
        <v>0</v>
      </c>
      <c r="AD48" t="b">
        <f>AND(IF(predictwithfallbackConfidences!$F48=predictwithfallbackConfidences!$B48,0,1),IF(predictwithfallbackConfidences!$B48=Sheet1!D$2,1,0))</f>
        <v>0</v>
      </c>
    </row>
    <row r="49" spans="1:30" x14ac:dyDescent="0.25">
      <c r="A49" t="b">
        <f>AND(IF(predictwithfallbackConfidences!$E49=predictwithfallbackConfidences!$B49,1,0),IF(predictwithfallbackConfidences!$E49=Sheet1!A$2,1,0))</f>
        <v>0</v>
      </c>
      <c r="B49" t="b">
        <f>AND(IF(predictwithfallbackConfidences!$E49=predictwithfallbackConfidences!$B49,1,0),IF(predictwithfallbackConfidences!$E49=Sheet1!B$2,1,0))</f>
        <v>0</v>
      </c>
      <c r="C49" t="b">
        <f>AND(IF(predictwithfallbackConfidences!$E49=predictwithfallbackConfidences!$B49,1,0),IF(predictwithfallbackConfidences!$E49=Sheet1!C$2,1,0))</f>
        <v>0</v>
      </c>
      <c r="D49" t="b">
        <f>AND(IF(predictwithfallbackConfidences!$E49=predictwithfallbackConfidences!$B49,1,0),IF(predictwithfallbackConfidences!$E49=Sheet1!D$2,1,0))</f>
        <v>0</v>
      </c>
      <c r="F49" t="b">
        <f>AND(IF(predictwithfallbackConfidences!$E49=predictwithfallbackConfidences!$B49,0,1),IF(predictwithfallbackConfidences!$E49=Sheet1!A$2,1,0))</f>
        <v>0</v>
      </c>
      <c r="G49" t="b">
        <f>AND(IF(predictwithfallbackConfidences!$E49=predictwithfallbackConfidences!$B49,0,1),IF(predictwithfallbackConfidences!$E49=Sheet1!B$2,1,0))</f>
        <v>1</v>
      </c>
      <c r="H49" t="b">
        <f>AND(IF(predictwithfallbackConfidences!$E49=predictwithfallbackConfidences!$B49,0,1),IF(predictwithfallbackConfidences!$E49=Sheet1!C$2,1,0))</f>
        <v>0</v>
      </c>
      <c r="I49" t="b">
        <f>AND(IF(predictwithfallbackConfidences!$E49=predictwithfallbackConfidences!$B49,0,1),IF(predictwithfallbackConfidences!$E49=Sheet1!D$2,1,0))</f>
        <v>0</v>
      </c>
      <c r="K49" t="b">
        <f>AND(IF(predictwithfallbackConfidences!$E49=predictwithfallbackConfidences!$B49,0,1),IF(predictwithfallbackConfidences!$B49=Sheet1!A$2,1,0))</f>
        <v>0</v>
      </c>
      <c r="L49" t="b">
        <f>AND(IF(predictwithfallbackConfidences!$E49=predictwithfallbackConfidences!$B49,0,1),IF(predictwithfallbackConfidences!$B49=Sheet1!B$2,1,0))</f>
        <v>0</v>
      </c>
      <c r="M49" t="b">
        <f>AND(IF(predictwithfallbackConfidences!$E49=predictwithfallbackConfidences!$B49,0,1),IF(predictwithfallbackConfidences!$B49=Sheet1!C$2,1,0))</f>
        <v>1</v>
      </c>
      <c r="N49" t="b">
        <f>AND(IF(predictwithfallbackConfidences!$E49=predictwithfallbackConfidences!$B49,0,1),IF(predictwithfallbackConfidences!$B49=Sheet1!D$2,1,0))</f>
        <v>0</v>
      </c>
      <c r="Q49" t="b">
        <f>AND(IF(predictwithfallbackConfidences!$F49=predictwithfallbackConfidences!$B49,1,0),IF(predictwithfallbackConfidences!$F49=Sheet1!A$2,1,0))</f>
        <v>0</v>
      </c>
      <c r="R49" t="b">
        <f>AND(IF(predictwithfallbackConfidences!$F49=predictwithfallbackConfidences!$B49,1,0),IF(predictwithfallbackConfidences!$F49=Sheet1!B$2,1,0))</f>
        <v>0</v>
      </c>
      <c r="S49" t="b">
        <f>AND(IF(predictwithfallbackConfidences!$F49=predictwithfallbackConfidences!$B49,1,0),IF(predictwithfallbackConfidences!$F49=Sheet1!C$2,1,0))</f>
        <v>1</v>
      </c>
      <c r="T49" t="b">
        <f>AND(IF(predictwithfallbackConfidences!$F49=predictwithfallbackConfidences!$B49,1,0),IF(predictwithfallbackConfidences!$F49=Sheet1!D$2,1,0))</f>
        <v>0</v>
      </c>
      <c r="V49" t="b">
        <f>AND(IF(predictwithfallbackConfidences!$F49=predictwithfallbackConfidences!$B49,0,1),IF(predictwithfallbackConfidences!$F49=Sheet1!A$2,1,0))</f>
        <v>0</v>
      </c>
      <c r="W49" t="b">
        <f>AND(IF(predictwithfallbackConfidences!$F49=predictwithfallbackConfidences!$B49,0,1),IF(predictwithfallbackConfidences!$F49=Sheet1!B$2,1,0))</f>
        <v>0</v>
      </c>
      <c r="X49" t="b">
        <f>AND(IF(predictwithfallbackConfidences!$F49=predictwithfallbackConfidences!$B49,0,1),IF(predictwithfallbackConfidences!$F49=Sheet1!C$2,1,0))</f>
        <v>0</v>
      </c>
      <c r="Y49" t="b">
        <f>AND(IF(predictwithfallbackConfidences!$F49=predictwithfallbackConfidences!$B49,0,1),IF(predictwithfallbackConfidences!$F49=Sheet1!D$2,1,0))</f>
        <v>0</v>
      </c>
      <c r="AA49" t="b">
        <f>AND(IF(predictwithfallbackConfidences!$F49=predictwithfallbackConfidences!$B49,0,1),IF(predictwithfallbackConfidences!$B49=Sheet1!A$2,1,0))</f>
        <v>0</v>
      </c>
      <c r="AB49" t="b">
        <f>AND(IF(predictwithfallbackConfidences!$F49=predictwithfallbackConfidences!$B49,0,1),IF(predictwithfallbackConfidences!$B49=Sheet1!B$2,1,0))</f>
        <v>0</v>
      </c>
      <c r="AC49" t="b">
        <f>AND(IF(predictwithfallbackConfidences!$F49=predictwithfallbackConfidences!$B49,0,1),IF(predictwithfallbackConfidences!$B49=Sheet1!C$2,1,0))</f>
        <v>0</v>
      </c>
      <c r="AD49" t="b">
        <f>AND(IF(predictwithfallbackConfidences!$F49=predictwithfallbackConfidences!$B49,0,1),IF(predictwithfallbackConfidences!$B49=Sheet1!D$2,1,0))</f>
        <v>0</v>
      </c>
    </row>
    <row r="50" spans="1:30" x14ac:dyDescent="0.25">
      <c r="A50" t="b">
        <f>AND(IF(predictwithfallbackConfidences!$E50=predictwithfallbackConfidences!$B50,1,0),IF(predictwithfallbackConfidences!$E50=Sheet1!A$2,1,0))</f>
        <v>0</v>
      </c>
      <c r="B50" t="b">
        <f>AND(IF(predictwithfallbackConfidences!$E50=predictwithfallbackConfidences!$B50,1,0),IF(predictwithfallbackConfidences!$E50=Sheet1!B$2,1,0))</f>
        <v>0</v>
      </c>
      <c r="C50" t="b">
        <f>AND(IF(predictwithfallbackConfidences!$E50=predictwithfallbackConfidences!$B50,1,0),IF(predictwithfallbackConfidences!$E50=Sheet1!C$2,1,0))</f>
        <v>1</v>
      </c>
      <c r="D50" t="b">
        <f>AND(IF(predictwithfallbackConfidences!$E50=predictwithfallbackConfidences!$B50,1,0),IF(predictwithfallbackConfidences!$E50=Sheet1!D$2,1,0))</f>
        <v>0</v>
      </c>
      <c r="F50" t="b">
        <f>AND(IF(predictwithfallbackConfidences!$E50=predictwithfallbackConfidences!$B50,0,1),IF(predictwithfallbackConfidences!$E50=Sheet1!A$2,1,0))</f>
        <v>0</v>
      </c>
      <c r="G50" t="b">
        <f>AND(IF(predictwithfallbackConfidences!$E50=predictwithfallbackConfidences!$B50,0,1),IF(predictwithfallbackConfidences!$E50=Sheet1!B$2,1,0))</f>
        <v>0</v>
      </c>
      <c r="H50" t="b">
        <f>AND(IF(predictwithfallbackConfidences!$E50=predictwithfallbackConfidences!$B50,0,1),IF(predictwithfallbackConfidences!$E50=Sheet1!C$2,1,0))</f>
        <v>0</v>
      </c>
      <c r="I50" t="b">
        <f>AND(IF(predictwithfallbackConfidences!$E50=predictwithfallbackConfidences!$B50,0,1),IF(predictwithfallbackConfidences!$E50=Sheet1!D$2,1,0))</f>
        <v>0</v>
      </c>
      <c r="K50" t="b">
        <f>AND(IF(predictwithfallbackConfidences!$E50=predictwithfallbackConfidences!$B50,0,1),IF(predictwithfallbackConfidences!$B50=Sheet1!A$2,1,0))</f>
        <v>0</v>
      </c>
      <c r="L50" t="b">
        <f>AND(IF(predictwithfallbackConfidences!$E50=predictwithfallbackConfidences!$B50,0,1),IF(predictwithfallbackConfidences!$B50=Sheet1!B$2,1,0))</f>
        <v>0</v>
      </c>
      <c r="M50" t="b">
        <f>AND(IF(predictwithfallbackConfidences!$E50=predictwithfallbackConfidences!$B50,0,1),IF(predictwithfallbackConfidences!$B50=Sheet1!C$2,1,0))</f>
        <v>0</v>
      </c>
      <c r="N50" t="b">
        <f>AND(IF(predictwithfallbackConfidences!$E50=predictwithfallbackConfidences!$B50,0,1),IF(predictwithfallbackConfidences!$B50=Sheet1!D$2,1,0))</f>
        <v>0</v>
      </c>
      <c r="Q50" t="b">
        <f>AND(IF(predictwithfallbackConfidences!$F50=predictwithfallbackConfidences!$B50,1,0),IF(predictwithfallbackConfidences!$F50=Sheet1!A$2,1,0))</f>
        <v>0</v>
      </c>
      <c r="R50" t="b">
        <f>AND(IF(predictwithfallbackConfidences!$F50=predictwithfallbackConfidences!$B50,1,0),IF(predictwithfallbackConfidences!$F50=Sheet1!B$2,1,0))</f>
        <v>0</v>
      </c>
      <c r="S50" t="b">
        <f>AND(IF(predictwithfallbackConfidences!$F50=predictwithfallbackConfidences!$B50,1,0),IF(predictwithfallbackConfidences!$F50=Sheet1!C$2,1,0))</f>
        <v>1</v>
      </c>
      <c r="T50" t="b">
        <f>AND(IF(predictwithfallbackConfidences!$F50=predictwithfallbackConfidences!$B50,1,0),IF(predictwithfallbackConfidences!$F50=Sheet1!D$2,1,0))</f>
        <v>0</v>
      </c>
      <c r="V50" t="b">
        <f>AND(IF(predictwithfallbackConfidences!$F50=predictwithfallbackConfidences!$B50,0,1),IF(predictwithfallbackConfidences!$F50=Sheet1!A$2,1,0))</f>
        <v>0</v>
      </c>
      <c r="W50" t="b">
        <f>AND(IF(predictwithfallbackConfidences!$F50=predictwithfallbackConfidences!$B50,0,1),IF(predictwithfallbackConfidences!$F50=Sheet1!B$2,1,0))</f>
        <v>0</v>
      </c>
      <c r="X50" t="b">
        <f>AND(IF(predictwithfallbackConfidences!$F50=predictwithfallbackConfidences!$B50,0,1),IF(predictwithfallbackConfidences!$F50=Sheet1!C$2,1,0))</f>
        <v>0</v>
      </c>
      <c r="Y50" t="b">
        <f>AND(IF(predictwithfallbackConfidences!$F50=predictwithfallbackConfidences!$B50,0,1),IF(predictwithfallbackConfidences!$F50=Sheet1!D$2,1,0))</f>
        <v>0</v>
      </c>
      <c r="AA50" t="b">
        <f>AND(IF(predictwithfallbackConfidences!$F50=predictwithfallbackConfidences!$B50,0,1),IF(predictwithfallbackConfidences!$B50=Sheet1!A$2,1,0))</f>
        <v>0</v>
      </c>
      <c r="AB50" t="b">
        <f>AND(IF(predictwithfallbackConfidences!$F50=predictwithfallbackConfidences!$B50,0,1),IF(predictwithfallbackConfidences!$B50=Sheet1!B$2,1,0))</f>
        <v>0</v>
      </c>
      <c r="AC50" t="b">
        <f>AND(IF(predictwithfallbackConfidences!$F50=predictwithfallbackConfidences!$B50,0,1),IF(predictwithfallbackConfidences!$B50=Sheet1!C$2,1,0))</f>
        <v>0</v>
      </c>
      <c r="AD50" t="b">
        <f>AND(IF(predictwithfallbackConfidences!$F50=predictwithfallbackConfidences!$B50,0,1),IF(predictwithfallbackConfidences!$B50=Sheet1!D$2,1,0))</f>
        <v>0</v>
      </c>
    </row>
    <row r="51" spans="1:30" x14ac:dyDescent="0.25">
      <c r="A51" t="b">
        <f>AND(IF(predictwithfallbackConfidences!$E51=predictwithfallbackConfidences!$B51,1,0),IF(predictwithfallbackConfidences!$E51=Sheet1!A$2,1,0))</f>
        <v>0</v>
      </c>
      <c r="B51" t="b">
        <f>AND(IF(predictwithfallbackConfidences!$E51=predictwithfallbackConfidences!$B51,1,0),IF(predictwithfallbackConfidences!$E51=Sheet1!B$2,1,0))</f>
        <v>0</v>
      </c>
      <c r="C51" t="b">
        <f>AND(IF(predictwithfallbackConfidences!$E51=predictwithfallbackConfidences!$B51,1,0),IF(predictwithfallbackConfidences!$E51=Sheet1!C$2,1,0))</f>
        <v>0</v>
      </c>
      <c r="D51" t="b">
        <f>AND(IF(predictwithfallbackConfidences!$E51=predictwithfallbackConfidences!$B51,1,0),IF(predictwithfallbackConfidences!$E51=Sheet1!D$2,1,0))</f>
        <v>0</v>
      </c>
      <c r="F51" t="b">
        <f>AND(IF(predictwithfallbackConfidences!$E51=predictwithfallbackConfidences!$B51,0,1),IF(predictwithfallbackConfidences!$E51=Sheet1!A$2,1,0))</f>
        <v>0</v>
      </c>
      <c r="G51" t="b">
        <f>AND(IF(predictwithfallbackConfidences!$E51=predictwithfallbackConfidences!$B51,0,1),IF(predictwithfallbackConfidences!$E51=Sheet1!B$2,1,0))</f>
        <v>1</v>
      </c>
      <c r="H51" t="b">
        <f>AND(IF(predictwithfallbackConfidences!$E51=predictwithfallbackConfidences!$B51,0,1),IF(predictwithfallbackConfidences!$E51=Sheet1!C$2,1,0))</f>
        <v>0</v>
      </c>
      <c r="I51" t="b">
        <f>AND(IF(predictwithfallbackConfidences!$E51=predictwithfallbackConfidences!$B51,0,1),IF(predictwithfallbackConfidences!$E51=Sheet1!D$2,1,0))</f>
        <v>0</v>
      </c>
      <c r="K51" t="b">
        <f>AND(IF(predictwithfallbackConfidences!$E51=predictwithfallbackConfidences!$B51,0,1),IF(predictwithfallbackConfidences!$B51=Sheet1!A$2,1,0))</f>
        <v>0</v>
      </c>
      <c r="L51" t="b">
        <f>AND(IF(predictwithfallbackConfidences!$E51=predictwithfallbackConfidences!$B51,0,1),IF(predictwithfallbackConfidences!$B51=Sheet1!B$2,1,0))</f>
        <v>0</v>
      </c>
      <c r="M51" t="b">
        <f>AND(IF(predictwithfallbackConfidences!$E51=predictwithfallbackConfidences!$B51,0,1),IF(predictwithfallbackConfidences!$B51=Sheet1!C$2,1,0))</f>
        <v>1</v>
      </c>
      <c r="N51" t="b">
        <f>AND(IF(predictwithfallbackConfidences!$E51=predictwithfallbackConfidences!$B51,0,1),IF(predictwithfallbackConfidences!$B51=Sheet1!D$2,1,0))</f>
        <v>0</v>
      </c>
      <c r="Q51" t="b">
        <f>AND(IF(predictwithfallbackConfidences!$F51=predictwithfallbackConfidences!$B51,1,0),IF(predictwithfallbackConfidences!$F51=Sheet1!A$2,1,0))</f>
        <v>0</v>
      </c>
      <c r="R51" t="b">
        <f>AND(IF(predictwithfallbackConfidences!$F51=predictwithfallbackConfidences!$B51,1,0),IF(predictwithfallbackConfidences!$F51=Sheet1!B$2,1,0))</f>
        <v>0</v>
      </c>
      <c r="S51" t="b">
        <f>AND(IF(predictwithfallbackConfidences!$F51=predictwithfallbackConfidences!$B51,1,0),IF(predictwithfallbackConfidences!$F51=Sheet1!C$2,1,0))</f>
        <v>0</v>
      </c>
      <c r="T51" t="b">
        <f>AND(IF(predictwithfallbackConfidences!$F51=predictwithfallbackConfidences!$B51,1,0),IF(predictwithfallbackConfidences!$F51=Sheet1!D$2,1,0))</f>
        <v>0</v>
      </c>
      <c r="V51" t="b">
        <f>AND(IF(predictwithfallbackConfidences!$F51=predictwithfallbackConfidences!$B51,0,1),IF(predictwithfallbackConfidences!$F51=Sheet1!A$2,1,0))</f>
        <v>0</v>
      </c>
      <c r="W51" t="b">
        <f>AND(IF(predictwithfallbackConfidences!$F51=predictwithfallbackConfidences!$B51,0,1),IF(predictwithfallbackConfidences!$F51=Sheet1!B$2,1,0))</f>
        <v>1</v>
      </c>
      <c r="X51" t="b">
        <f>AND(IF(predictwithfallbackConfidences!$F51=predictwithfallbackConfidences!$B51,0,1),IF(predictwithfallbackConfidences!$F51=Sheet1!C$2,1,0))</f>
        <v>0</v>
      </c>
      <c r="Y51" t="b">
        <f>AND(IF(predictwithfallbackConfidences!$F51=predictwithfallbackConfidences!$B51,0,1),IF(predictwithfallbackConfidences!$F51=Sheet1!D$2,1,0))</f>
        <v>0</v>
      </c>
      <c r="AA51" t="b">
        <f>AND(IF(predictwithfallbackConfidences!$F51=predictwithfallbackConfidences!$B51,0,1),IF(predictwithfallbackConfidences!$B51=Sheet1!A$2,1,0))</f>
        <v>0</v>
      </c>
      <c r="AB51" t="b">
        <f>AND(IF(predictwithfallbackConfidences!$F51=predictwithfallbackConfidences!$B51,0,1),IF(predictwithfallbackConfidences!$B51=Sheet1!B$2,1,0))</f>
        <v>0</v>
      </c>
      <c r="AC51" t="b">
        <f>AND(IF(predictwithfallbackConfidences!$F51=predictwithfallbackConfidences!$B51,0,1),IF(predictwithfallbackConfidences!$B51=Sheet1!C$2,1,0))</f>
        <v>1</v>
      </c>
      <c r="AD51" t="b">
        <f>AND(IF(predictwithfallbackConfidences!$F51=predictwithfallbackConfidences!$B51,0,1),IF(predictwithfallbackConfidences!$B51=Sheet1!D$2,1,0))</f>
        <v>0</v>
      </c>
    </row>
    <row r="52" spans="1:30" x14ac:dyDescent="0.25">
      <c r="A52" t="b">
        <f>AND(IF(predictwithfallbackConfidences!$E52=predictwithfallbackConfidences!$B52,1,0),IF(predictwithfallbackConfidences!$E52=Sheet1!A$2,1,0))</f>
        <v>0</v>
      </c>
      <c r="B52" t="b">
        <f>AND(IF(predictwithfallbackConfidences!$E52=predictwithfallbackConfidences!$B52,1,0),IF(predictwithfallbackConfidences!$E52=Sheet1!B$2,1,0))</f>
        <v>0</v>
      </c>
      <c r="C52" t="b">
        <f>AND(IF(predictwithfallbackConfidences!$E52=predictwithfallbackConfidences!$B52,1,0),IF(predictwithfallbackConfidences!$E52=Sheet1!C$2,1,0))</f>
        <v>1</v>
      </c>
      <c r="D52" t="b">
        <f>AND(IF(predictwithfallbackConfidences!$E52=predictwithfallbackConfidences!$B52,1,0),IF(predictwithfallbackConfidences!$E52=Sheet1!D$2,1,0))</f>
        <v>0</v>
      </c>
      <c r="F52" t="b">
        <f>AND(IF(predictwithfallbackConfidences!$E52=predictwithfallbackConfidences!$B52,0,1),IF(predictwithfallbackConfidences!$E52=Sheet1!A$2,1,0))</f>
        <v>0</v>
      </c>
      <c r="G52" t="b">
        <f>AND(IF(predictwithfallbackConfidences!$E52=predictwithfallbackConfidences!$B52,0,1),IF(predictwithfallbackConfidences!$E52=Sheet1!B$2,1,0))</f>
        <v>0</v>
      </c>
      <c r="H52" t="b">
        <f>AND(IF(predictwithfallbackConfidences!$E52=predictwithfallbackConfidences!$B52,0,1),IF(predictwithfallbackConfidences!$E52=Sheet1!C$2,1,0))</f>
        <v>0</v>
      </c>
      <c r="I52" t="b">
        <f>AND(IF(predictwithfallbackConfidences!$E52=predictwithfallbackConfidences!$B52,0,1),IF(predictwithfallbackConfidences!$E52=Sheet1!D$2,1,0))</f>
        <v>0</v>
      </c>
      <c r="K52" t="b">
        <f>AND(IF(predictwithfallbackConfidences!$E52=predictwithfallbackConfidences!$B52,0,1),IF(predictwithfallbackConfidences!$B52=Sheet1!A$2,1,0))</f>
        <v>0</v>
      </c>
      <c r="L52" t="b">
        <f>AND(IF(predictwithfallbackConfidences!$E52=predictwithfallbackConfidences!$B52,0,1),IF(predictwithfallbackConfidences!$B52=Sheet1!B$2,1,0))</f>
        <v>0</v>
      </c>
      <c r="M52" t="b">
        <f>AND(IF(predictwithfallbackConfidences!$E52=predictwithfallbackConfidences!$B52,0,1),IF(predictwithfallbackConfidences!$B52=Sheet1!C$2,1,0))</f>
        <v>0</v>
      </c>
      <c r="N52" t="b">
        <f>AND(IF(predictwithfallbackConfidences!$E52=predictwithfallbackConfidences!$B52,0,1),IF(predictwithfallbackConfidences!$B52=Sheet1!D$2,1,0))</f>
        <v>0</v>
      </c>
      <c r="Q52" t="b">
        <f>AND(IF(predictwithfallbackConfidences!$F52=predictwithfallbackConfidences!$B52,1,0),IF(predictwithfallbackConfidences!$F52=Sheet1!A$2,1,0))</f>
        <v>0</v>
      </c>
      <c r="R52" t="b">
        <f>AND(IF(predictwithfallbackConfidences!$F52=predictwithfallbackConfidences!$B52,1,0),IF(predictwithfallbackConfidences!$F52=Sheet1!B$2,1,0))</f>
        <v>0</v>
      </c>
      <c r="S52" t="b">
        <f>AND(IF(predictwithfallbackConfidences!$F52=predictwithfallbackConfidences!$B52,1,0),IF(predictwithfallbackConfidences!$F52=Sheet1!C$2,1,0))</f>
        <v>1</v>
      </c>
      <c r="T52" t="b">
        <f>AND(IF(predictwithfallbackConfidences!$F52=predictwithfallbackConfidences!$B52,1,0),IF(predictwithfallbackConfidences!$F52=Sheet1!D$2,1,0))</f>
        <v>0</v>
      </c>
      <c r="V52" t="b">
        <f>AND(IF(predictwithfallbackConfidences!$F52=predictwithfallbackConfidences!$B52,0,1),IF(predictwithfallbackConfidences!$F52=Sheet1!A$2,1,0))</f>
        <v>0</v>
      </c>
      <c r="W52" t="b">
        <f>AND(IF(predictwithfallbackConfidences!$F52=predictwithfallbackConfidences!$B52,0,1),IF(predictwithfallbackConfidences!$F52=Sheet1!B$2,1,0))</f>
        <v>0</v>
      </c>
      <c r="X52" t="b">
        <f>AND(IF(predictwithfallbackConfidences!$F52=predictwithfallbackConfidences!$B52,0,1),IF(predictwithfallbackConfidences!$F52=Sheet1!C$2,1,0))</f>
        <v>0</v>
      </c>
      <c r="Y52" t="b">
        <f>AND(IF(predictwithfallbackConfidences!$F52=predictwithfallbackConfidences!$B52,0,1),IF(predictwithfallbackConfidences!$F52=Sheet1!D$2,1,0))</f>
        <v>0</v>
      </c>
      <c r="AA52" t="b">
        <f>AND(IF(predictwithfallbackConfidences!$F52=predictwithfallbackConfidences!$B52,0,1),IF(predictwithfallbackConfidences!$B52=Sheet1!A$2,1,0))</f>
        <v>0</v>
      </c>
      <c r="AB52" t="b">
        <f>AND(IF(predictwithfallbackConfidences!$F52=predictwithfallbackConfidences!$B52,0,1),IF(predictwithfallbackConfidences!$B52=Sheet1!B$2,1,0))</f>
        <v>0</v>
      </c>
      <c r="AC52" t="b">
        <f>AND(IF(predictwithfallbackConfidences!$F52=predictwithfallbackConfidences!$B52,0,1),IF(predictwithfallbackConfidences!$B52=Sheet1!C$2,1,0))</f>
        <v>0</v>
      </c>
      <c r="AD52" t="b">
        <f>AND(IF(predictwithfallbackConfidences!$F52=predictwithfallbackConfidences!$B52,0,1),IF(predictwithfallbackConfidences!$B52=Sheet1!D$2,1,0))</f>
        <v>0</v>
      </c>
    </row>
    <row r="53" spans="1:30" x14ac:dyDescent="0.25">
      <c r="A53" t="b">
        <f>AND(IF(predictwithfallbackConfidences!$E53=predictwithfallbackConfidences!$B53,1,0),IF(predictwithfallbackConfidences!$E53=Sheet1!A$2,1,0))</f>
        <v>0</v>
      </c>
      <c r="B53" t="b">
        <f>AND(IF(predictwithfallbackConfidences!$E53=predictwithfallbackConfidences!$B53,1,0),IF(predictwithfallbackConfidences!$E53=Sheet1!B$2,1,0))</f>
        <v>0</v>
      </c>
      <c r="C53" t="b">
        <f>AND(IF(predictwithfallbackConfidences!$E53=predictwithfallbackConfidences!$B53,1,0),IF(predictwithfallbackConfidences!$E53=Sheet1!C$2,1,0))</f>
        <v>0</v>
      </c>
      <c r="D53" t="b">
        <f>AND(IF(predictwithfallbackConfidences!$E53=predictwithfallbackConfidences!$B53,1,0),IF(predictwithfallbackConfidences!$E53=Sheet1!D$2,1,0))</f>
        <v>1</v>
      </c>
      <c r="F53" t="b">
        <f>AND(IF(predictwithfallbackConfidences!$E53=predictwithfallbackConfidences!$B53,0,1),IF(predictwithfallbackConfidences!$E53=Sheet1!A$2,1,0))</f>
        <v>0</v>
      </c>
      <c r="G53" t="b">
        <f>AND(IF(predictwithfallbackConfidences!$E53=predictwithfallbackConfidences!$B53,0,1),IF(predictwithfallbackConfidences!$E53=Sheet1!B$2,1,0))</f>
        <v>0</v>
      </c>
      <c r="H53" t="b">
        <f>AND(IF(predictwithfallbackConfidences!$E53=predictwithfallbackConfidences!$B53,0,1),IF(predictwithfallbackConfidences!$E53=Sheet1!C$2,1,0))</f>
        <v>0</v>
      </c>
      <c r="I53" t="b">
        <f>AND(IF(predictwithfallbackConfidences!$E53=predictwithfallbackConfidences!$B53,0,1),IF(predictwithfallbackConfidences!$E53=Sheet1!D$2,1,0))</f>
        <v>0</v>
      </c>
      <c r="K53" t="b">
        <f>AND(IF(predictwithfallbackConfidences!$E53=predictwithfallbackConfidences!$B53,0,1),IF(predictwithfallbackConfidences!$B53=Sheet1!A$2,1,0))</f>
        <v>0</v>
      </c>
      <c r="L53" t="b">
        <f>AND(IF(predictwithfallbackConfidences!$E53=predictwithfallbackConfidences!$B53,0,1),IF(predictwithfallbackConfidences!$B53=Sheet1!B$2,1,0))</f>
        <v>0</v>
      </c>
      <c r="M53" t="b">
        <f>AND(IF(predictwithfallbackConfidences!$E53=predictwithfallbackConfidences!$B53,0,1),IF(predictwithfallbackConfidences!$B53=Sheet1!C$2,1,0))</f>
        <v>0</v>
      </c>
      <c r="N53" t="b">
        <f>AND(IF(predictwithfallbackConfidences!$E53=predictwithfallbackConfidences!$B53,0,1),IF(predictwithfallbackConfidences!$B53=Sheet1!D$2,1,0))</f>
        <v>0</v>
      </c>
      <c r="Q53" t="b">
        <f>AND(IF(predictwithfallbackConfidences!$F53=predictwithfallbackConfidences!$B53,1,0),IF(predictwithfallbackConfidences!$F53=Sheet1!A$2,1,0))</f>
        <v>0</v>
      </c>
      <c r="R53" t="b">
        <f>AND(IF(predictwithfallbackConfidences!$F53=predictwithfallbackConfidences!$B53,1,0),IF(predictwithfallbackConfidences!$F53=Sheet1!B$2,1,0))</f>
        <v>0</v>
      </c>
      <c r="S53" t="b">
        <f>AND(IF(predictwithfallbackConfidences!$F53=predictwithfallbackConfidences!$B53,1,0),IF(predictwithfallbackConfidences!$F53=Sheet1!C$2,1,0))</f>
        <v>0</v>
      </c>
      <c r="T53" t="b">
        <f>AND(IF(predictwithfallbackConfidences!$F53=predictwithfallbackConfidences!$B53,1,0),IF(predictwithfallbackConfidences!$F53=Sheet1!D$2,1,0))</f>
        <v>1</v>
      </c>
      <c r="V53" t="b">
        <f>AND(IF(predictwithfallbackConfidences!$F53=predictwithfallbackConfidences!$B53,0,1),IF(predictwithfallbackConfidences!$F53=Sheet1!A$2,1,0))</f>
        <v>0</v>
      </c>
      <c r="W53" t="b">
        <f>AND(IF(predictwithfallbackConfidences!$F53=predictwithfallbackConfidences!$B53,0,1),IF(predictwithfallbackConfidences!$F53=Sheet1!B$2,1,0))</f>
        <v>0</v>
      </c>
      <c r="X53" t="b">
        <f>AND(IF(predictwithfallbackConfidences!$F53=predictwithfallbackConfidences!$B53,0,1),IF(predictwithfallbackConfidences!$F53=Sheet1!C$2,1,0))</f>
        <v>0</v>
      </c>
      <c r="Y53" t="b">
        <f>AND(IF(predictwithfallbackConfidences!$F53=predictwithfallbackConfidences!$B53,0,1),IF(predictwithfallbackConfidences!$F53=Sheet1!D$2,1,0))</f>
        <v>0</v>
      </c>
      <c r="AA53" t="b">
        <f>AND(IF(predictwithfallbackConfidences!$F53=predictwithfallbackConfidences!$B53,0,1),IF(predictwithfallbackConfidences!$B53=Sheet1!A$2,1,0))</f>
        <v>0</v>
      </c>
      <c r="AB53" t="b">
        <f>AND(IF(predictwithfallbackConfidences!$F53=predictwithfallbackConfidences!$B53,0,1),IF(predictwithfallbackConfidences!$B53=Sheet1!B$2,1,0))</f>
        <v>0</v>
      </c>
      <c r="AC53" t="b">
        <f>AND(IF(predictwithfallbackConfidences!$F53=predictwithfallbackConfidences!$B53,0,1),IF(predictwithfallbackConfidences!$B53=Sheet1!C$2,1,0))</f>
        <v>0</v>
      </c>
      <c r="AD53" t="b">
        <f>AND(IF(predictwithfallbackConfidences!$F53=predictwithfallbackConfidences!$B53,0,1),IF(predictwithfallbackConfidences!$B53=Sheet1!D$2,1,0))</f>
        <v>0</v>
      </c>
    </row>
    <row r="54" spans="1:30" x14ac:dyDescent="0.25">
      <c r="A54" t="b">
        <f>AND(IF(predictwithfallbackConfidences!$E54=predictwithfallbackConfidences!$B54,1,0),IF(predictwithfallbackConfidences!$E54=Sheet1!A$2,1,0))</f>
        <v>0</v>
      </c>
      <c r="B54" t="b">
        <f>AND(IF(predictwithfallbackConfidences!$E54=predictwithfallbackConfidences!$B54,1,0),IF(predictwithfallbackConfidences!$E54=Sheet1!B$2,1,0))</f>
        <v>0</v>
      </c>
      <c r="C54" t="b">
        <f>AND(IF(predictwithfallbackConfidences!$E54=predictwithfallbackConfidences!$B54,1,0),IF(predictwithfallbackConfidences!$E54=Sheet1!C$2,1,0))</f>
        <v>0</v>
      </c>
      <c r="D54" t="b">
        <f>AND(IF(predictwithfallbackConfidences!$E54=predictwithfallbackConfidences!$B54,1,0),IF(predictwithfallbackConfidences!$E54=Sheet1!D$2,1,0))</f>
        <v>1</v>
      </c>
      <c r="F54" t="b">
        <f>AND(IF(predictwithfallbackConfidences!$E54=predictwithfallbackConfidences!$B54,0,1),IF(predictwithfallbackConfidences!$E54=Sheet1!A$2,1,0))</f>
        <v>0</v>
      </c>
      <c r="G54" t="b">
        <f>AND(IF(predictwithfallbackConfidences!$E54=predictwithfallbackConfidences!$B54,0,1),IF(predictwithfallbackConfidences!$E54=Sheet1!B$2,1,0))</f>
        <v>0</v>
      </c>
      <c r="H54" t="b">
        <f>AND(IF(predictwithfallbackConfidences!$E54=predictwithfallbackConfidences!$B54,0,1),IF(predictwithfallbackConfidences!$E54=Sheet1!C$2,1,0))</f>
        <v>0</v>
      </c>
      <c r="I54" t="b">
        <f>AND(IF(predictwithfallbackConfidences!$E54=predictwithfallbackConfidences!$B54,0,1),IF(predictwithfallbackConfidences!$E54=Sheet1!D$2,1,0))</f>
        <v>0</v>
      </c>
      <c r="K54" t="b">
        <f>AND(IF(predictwithfallbackConfidences!$E54=predictwithfallbackConfidences!$B54,0,1),IF(predictwithfallbackConfidences!$B54=Sheet1!A$2,1,0))</f>
        <v>0</v>
      </c>
      <c r="L54" t="b">
        <f>AND(IF(predictwithfallbackConfidences!$E54=predictwithfallbackConfidences!$B54,0,1),IF(predictwithfallbackConfidences!$B54=Sheet1!B$2,1,0))</f>
        <v>0</v>
      </c>
      <c r="M54" t="b">
        <f>AND(IF(predictwithfallbackConfidences!$E54=predictwithfallbackConfidences!$B54,0,1),IF(predictwithfallbackConfidences!$B54=Sheet1!C$2,1,0))</f>
        <v>0</v>
      </c>
      <c r="N54" t="b">
        <f>AND(IF(predictwithfallbackConfidences!$E54=predictwithfallbackConfidences!$B54,0,1),IF(predictwithfallbackConfidences!$B54=Sheet1!D$2,1,0))</f>
        <v>0</v>
      </c>
      <c r="Q54" t="b">
        <f>AND(IF(predictwithfallbackConfidences!$F54=predictwithfallbackConfidences!$B54,1,0),IF(predictwithfallbackConfidences!$F54=Sheet1!A$2,1,0))</f>
        <v>0</v>
      </c>
      <c r="R54" t="b">
        <f>AND(IF(predictwithfallbackConfidences!$F54=predictwithfallbackConfidences!$B54,1,0),IF(predictwithfallbackConfidences!$F54=Sheet1!B$2,1,0))</f>
        <v>0</v>
      </c>
      <c r="S54" t="b">
        <f>AND(IF(predictwithfallbackConfidences!$F54=predictwithfallbackConfidences!$B54,1,0),IF(predictwithfallbackConfidences!$F54=Sheet1!C$2,1,0))</f>
        <v>0</v>
      </c>
      <c r="T54" t="b">
        <f>AND(IF(predictwithfallbackConfidences!$F54=predictwithfallbackConfidences!$B54,1,0),IF(predictwithfallbackConfidences!$F54=Sheet1!D$2,1,0))</f>
        <v>1</v>
      </c>
      <c r="V54" t="b">
        <f>AND(IF(predictwithfallbackConfidences!$F54=predictwithfallbackConfidences!$B54,0,1),IF(predictwithfallbackConfidences!$F54=Sheet1!A$2,1,0))</f>
        <v>0</v>
      </c>
      <c r="W54" t="b">
        <f>AND(IF(predictwithfallbackConfidences!$F54=predictwithfallbackConfidences!$B54,0,1),IF(predictwithfallbackConfidences!$F54=Sheet1!B$2,1,0))</f>
        <v>0</v>
      </c>
      <c r="X54" t="b">
        <f>AND(IF(predictwithfallbackConfidences!$F54=predictwithfallbackConfidences!$B54,0,1),IF(predictwithfallbackConfidences!$F54=Sheet1!C$2,1,0))</f>
        <v>0</v>
      </c>
      <c r="Y54" t="b">
        <f>AND(IF(predictwithfallbackConfidences!$F54=predictwithfallbackConfidences!$B54,0,1),IF(predictwithfallbackConfidences!$F54=Sheet1!D$2,1,0))</f>
        <v>0</v>
      </c>
      <c r="AA54" t="b">
        <f>AND(IF(predictwithfallbackConfidences!$F54=predictwithfallbackConfidences!$B54,0,1),IF(predictwithfallbackConfidences!$B54=Sheet1!A$2,1,0))</f>
        <v>0</v>
      </c>
      <c r="AB54" t="b">
        <f>AND(IF(predictwithfallbackConfidences!$F54=predictwithfallbackConfidences!$B54,0,1),IF(predictwithfallbackConfidences!$B54=Sheet1!B$2,1,0))</f>
        <v>0</v>
      </c>
      <c r="AC54" t="b">
        <f>AND(IF(predictwithfallbackConfidences!$F54=predictwithfallbackConfidences!$B54,0,1),IF(predictwithfallbackConfidences!$B54=Sheet1!C$2,1,0))</f>
        <v>0</v>
      </c>
      <c r="AD54" t="b">
        <f>AND(IF(predictwithfallbackConfidences!$F54=predictwithfallbackConfidences!$B54,0,1),IF(predictwithfallbackConfidences!$B54=Sheet1!D$2,1,0))</f>
        <v>0</v>
      </c>
    </row>
    <row r="55" spans="1:30" x14ac:dyDescent="0.25">
      <c r="A55" t="b">
        <f>AND(IF(predictwithfallbackConfidences!$E55=predictwithfallbackConfidences!$B55,1,0),IF(predictwithfallbackConfidences!$E55=Sheet1!A$2,1,0))</f>
        <v>0</v>
      </c>
      <c r="B55" t="b">
        <f>AND(IF(predictwithfallbackConfidences!$E55=predictwithfallbackConfidences!$B55,1,0),IF(predictwithfallbackConfidences!$E55=Sheet1!B$2,1,0))</f>
        <v>0</v>
      </c>
      <c r="C55" t="b">
        <f>AND(IF(predictwithfallbackConfidences!$E55=predictwithfallbackConfidences!$B55,1,0),IF(predictwithfallbackConfidences!$E55=Sheet1!C$2,1,0))</f>
        <v>0</v>
      </c>
      <c r="D55" t="b">
        <f>AND(IF(predictwithfallbackConfidences!$E55=predictwithfallbackConfidences!$B55,1,0),IF(predictwithfallbackConfidences!$E55=Sheet1!D$2,1,0))</f>
        <v>1</v>
      </c>
      <c r="F55" t="b">
        <f>AND(IF(predictwithfallbackConfidences!$E55=predictwithfallbackConfidences!$B55,0,1),IF(predictwithfallbackConfidences!$E55=Sheet1!A$2,1,0))</f>
        <v>0</v>
      </c>
      <c r="G55" t="b">
        <f>AND(IF(predictwithfallbackConfidences!$E55=predictwithfallbackConfidences!$B55,0,1),IF(predictwithfallbackConfidences!$E55=Sheet1!B$2,1,0))</f>
        <v>0</v>
      </c>
      <c r="H55" t="b">
        <f>AND(IF(predictwithfallbackConfidences!$E55=predictwithfallbackConfidences!$B55,0,1),IF(predictwithfallbackConfidences!$E55=Sheet1!C$2,1,0))</f>
        <v>0</v>
      </c>
      <c r="I55" t="b">
        <f>AND(IF(predictwithfallbackConfidences!$E55=predictwithfallbackConfidences!$B55,0,1),IF(predictwithfallbackConfidences!$E55=Sheet1!D$2,1,0))</f>
        <v>0</v>
      </c>
      <c r="K55" t="b">
        <f>AND(IF(predictwithfallbackConfidences!$E55=predictwithfallbackConfidences!$B55,0,1),IF(predictwithfallbackConfidences!$B55=Sheet1!A$2,1,0))</f>
        <v>0</v>
      </c>
      <c r="L55" t="b">
        <f>AND(IF(predictwithfallbackConfidences!$E55=predictwithfallbackConfidences!$B55,0,1),IF(predictwithfallbackConfidences!$B55=Sheet1!B$2,1,0))</f>
        <v>0</v>
      </c>
      <c r="M55" t="b">
        <f>AND(IF(predictwithfallbackConfidences!$E55=predictwithfallbackConfidences!$B55,0,1),IF(predictwithfallbackConfidences!$B55=Sheet1!C$2,1,0))</f>
        <v>0</v>
      </c>
      <c r="N55" t="b">
        <f>AND(IF(predictwithfallbackConfidences!$E55=predictwithfallbackConfidences!$B55,0,1),IF(predictwithfallbackConfidences!$B55=Sheet1!D$2,1,0))</f>
        <v>0</v>
      </c>
      <c r="Q55" t="b">
        <f>AND(IF(predictwithfallbackConfidences!$F55=predictwithfallbackConfidences!$B55,1,0),IF(predictwithfallbackConfidences!$F55=Sheet1!A$2,1,0))</f>
        <v>0</v>
      </c>
      <c r="R55" t="b">
        <f>AND(IF(predictwithfallbackConfidences!$F55=predictwithfallbackConfidences!$B55,1,0),IF(predictwithfallbackConfidences!$F55=Sheet1!B$2,1,0))</f>
        <v>0</v>
      </c>
      <c r="S55" t="b">
        <f>AND(IF(predictwithfallbackConfidences!$F55=predictwithfallbackConfidences!$B55,1,0),IF(predictwithfallbackConfidences!$F55=Sheet1!C$2,1,0))</f>
        <v>0</v>
      </c>
      <c r="T55" t="b">
        <f>AND(IF(predictwithfallbackConfidences!$F55=predictwithfallbackConfidences!$B55,1,0),IF(predictwithfallbackConfidences!$F55=Sheet1!D$2,1,0))</f>
        <v>1</v>
      </c>
      <c r="V55" t="b">
        <f>AND(IF(predictwithfallbackConfidences!$F55=predictwithfallbackConfidences!$B55,0,1),IF(predictwithfallbackConfidences!$F55=Sheet1!A$2,1,0))</f>
        <v>0</v>
      </c>
      <c r="W55" t="b">
        <f>AND(IF(predictwithfallbackConfidences!$F55=predictwithfallbackConfidences!$B55,0,1),IF(predictwithfallbackConfidences!$F55=Sheet1!B$2,1,0))</f>
        <v>0</v>
      </c>
      <c r="X55" t="b">
        <f>AND(IF(predictwithfallbackConfidences!$F55=predictwithfallbackConfidences!$B55,0,1),IF(predictwithfallbackConfidences!$F55=Sheet1!C$2,1,0))</f>
        <v>0</v>
      </c>
      <c r="Y55" t="b">
        <f>AND(IF(predictwithfallbackConfidences!$F55=predictwithfallbackConfidences!$B55,0,1),IF(predictwithfallbackConfidences!$F55=Sheet1!D$2,1,0))</f>
        <v>0</v>
      </c>
      <c r="AA55" t="b">
        <f>AND(IF(predictwithfallbackConfidences!$F55=predictwithfallbackConfidences!$B55,0,1),IF(predictwithfallbackConfidences!$B55=Sheet1!A$2,1,0))</f>
        <v>0</v>
      </c>
      <c r="AB55" t="b">
        <f>AND(IF(predictwithfallbackConfidences!$F55=predictwithfallbackConfidences!$B55,0,1),IF(predictwithfallbackConfidences!$B55=Sheet1!B$2,1,0))</f>
        <v>0</v>
      </c>
      <c r="AC55" t="b">
        <f>AND(IF(predictwithfallbackConfidences!$F55=predictwithfallbackConfidences!$B55,0,1),IF(predictwithfallbackConfidences!$B55=Sheet1!C$2,1,0))</f>
        <v>0</v>
      </c>
      <c r="AD55" t="b">
        <f>AND(IF(predictwithfallbackConfidences!$F55=predictwithfallbackConfidences!$B55,0,1),IF(predictwithfallbackConfidences!$B55=Sheet1!D$2,1,0))</f>
        <v>0</v>
      </c>
    </row>
    <row r="56" spans="1:30" x14ac:dyDescent="0.25">
      <c r="A56" t="b">
        <f>AND(IF(predictwithfallbackConfidences!$E56=predictwithfallbackConfidences!$B56,1,0),IF(predictwithfallbackConfidences!$E56=Sheet1!A$2,1,0))</f>
        <v>0</v>
      </c>
      <c r="B56" t="b">
        <f>AND(IF(predictwithfallbackConfidences!$E56=predictwithfallbackConfidences!$B56,1,0),IF(predictwithfallbackConfidences!$E56=Sheet1!B$2,1,0))</f>
        <v>0</v>
      </c>
      <c r="C56" t="b">
        <f>AND(IF(predictwithfallbackConfidences!$E56=predictwithfallbackConfidences!$B56,1,0),IF(predictwithfallbackConfidences!$E56=Sheet1!C$2,1,0))</f>
        <v>0</v>
      </c>
      <c r="D56" t="b">
        <f>AND(IF(predictwithfallbackConfidences!$E56=predictwithfallbackConfidences!$B56,1,0),IF(predictwithfallbackConfidences!$E56=Sheet1!D$2,1,0))</f>
        <v>1</v>
      </c>
      <c r="F56" t="b">
        <f>AND(IF(predictwithfallbackConfidences!$E56=predictwithfallbackConfidences!$B56,0,1),IF(predictwithfallbackConfidences!$E56=Sheet1!A$2,1,0))</f>
        <v>0</v>
      </c>
      <c r="G56" t="b">
        <f>AND(IF(predictwithfallbackConfidences!$E56=predictwithfallbackConfidences!$B56,0,1),IF(predictwithfallbackConfidences!$E56=Sheet1!B$2,1,0))</f>
        <v>0</v>
      </c>
      <c r="H56" t="b">
        <f>AND(IF(predictwithfallbackConfidences!$E56=predictwithfallbackConfidences!$B56,0,1),IF(predictwithfallbackConfidences!$E56=Sheet1!C$2,1,0))</f>
        <v>0</v>
      </c>
      <c r="I56" t="b">
        <f>AND(IF(predictwithfallbackConfidences!$E56=predictwithfallbackConfidences!$B56,0,1),IF(predictwithfallbackConfidences!$E56=Sheet1!D$2,1,0))</f>
        <v>0</v>
      </c>
      <c r="K56" t="b">
        <f>AND(IF(predictwithfallbackConfidences!$E56=predictwithfallbackConfidences!$B56,0,1),IF(predictwithfallbackConfidences!$B56=Sheet1!A$2,1,0))</f>
        <v>0</v>
      </c>
      <c r="L56" t="b">
        <f>AND(IF(predictwithfallbackConfidences!$E56=predictwithfallbackConfidences!$B56,0,1),IF(predictwithfallbackConfidences!$B56=Sheet1!B$2,1,0))</f>
        <v>0</v>
      </c>
      <c r="M56" t="b">
        <f>AND(IF(predictwithfallbackConfidences!$E56=predictwithfallbackConfidences!$B56,0,1),IF(predictwithfallbackConfidences!$B56=Sheet1!C$2,1,0))</f>
        <v>0</v>
      </c>
      <c r="N56" t="b">
        <f>AND(IF(predictwithfallbackConfidences!$E56=predictwithfallbackConfidences!$B56,0,1),IF(predictwithfallbackConfidences!$B56=Sheet1!D$2,1,0))</f>
        <v>0</v>
      </c>
      <c r="Q56" t="b">
        <f>AND(IF(predictwithfallbackConfidences!$F56=predictwithfallbackConfidences!$B56,1,0),IF(predictwithfallbackConfidences!$F56=Sheet1!A$2,1,0))</f>
        <v>0</v>
      </c>
      <c r="R56" t="b">
        <f>AND(IF(predictwithfallbackConfidences!$F56=predictwithfallbackConfidences!$B56,1,0),IF(predictwithfallbackConfidences!$F56=Sheet1!B$2,1,0))</f>
        <v>0</v>
      </c>
      <c r="S56" t="b">
        <f>AND(IF(predictwithfallbackConfidences!$F56=predictwithfallbackConfidences!$B56,1,0),IF(predictwithfallbackConfidences!$F56=Sheet1!C$2,1,0))</f>
        <v>0</v>
      </c>
      <c r="T56" t="b">
        <f>AND(IF(predictwithfallbackConfidences!$F56=predictwithfallbackConfidences!$B56,1,0),IF(predictwithfallbackConfidences!$F56=Sheet1!D$2,1,0))</f>
        <v>1</v>
      </c>
      <c r="V56" t="b">
        <f>AND(IF(predictwithfallbackConfidences!$F56=predictwithfallbackConfidences!$B56,0,1),IF(predictwithfallbackConfidences!$F56=Sheet1!A$2,1,0))</f>
        <v>0</v>
      </c>
      <c r="W56" t="b">
        <f>AND(IF(predictwithfallbackConfidences!$F56=predictwithfallbackConfidences!$B56,0,1),IF(predictwithfallbackConfidences!$F56=Sheet1!B$2,1,0))</f>
        <v>0</v>
      </c>
      <c r="X56" t="b">
        <f>AND(IF(predictwithfallbackConfidences!$F56=predictwithfallbackConfidences!$B56,0,1),IF(predictwithfallbackConfidences!$F56=Sheet1!C$2,1,0))</f>
        <v>0</v>
      </c>
      <c r="Y56" t="b">
        <f>AND(IF(predictwithfallbackConfidences!$F56=predictwithfallbackConfidences!$B56,0,1),IF(predictwithfallbackConfidences!$F56=Sheet1!D$2,1,0))</f>
        <v>0</v>
      </c>
      <c r="AA56" t="b">
        <f>AND(IF(predictwithfallbackConfidences!$F56=predictwithfallbackConfidences!$B56,0,1),IF(predictwithfallbackConfidences!$B56=Sheet1!A$2,1,0))</f>
        <v>0</v>
      </c>
      <c r="AB56" t="b">
        <f>AND(IF(predictwithfallbackConfidences!$F56=predictwithfallbackConfidences!$B56,0,1),IF(predictwithfallbackConfidences!$B56=Sheet1!B$2,1,0))</f>
        <v>0</v>
      </c>
      <c r="AC56" t="b">
        <f>AND(IF(predictwithfallbackConfidences!$F56=predictwithfallbackConfidences!$B56,0,1),IF(predictwithfallbackConfidences!$B56=Sheet1!C$2,1,0))</f>
        <v>0</v>
      </c>
      <c r="AD56" t="b">
        <f>AND(IF(predictwithfallbackConfidences!$F56=predictwithfallbackConfidences!$B56,0,1),IF(predictwithfallbackConfidences!$B56=Sheet1!D$2,1,0))</f>
        <v>0</v>
      </c>
    </row>
    <row r="57" spans="1:30" x14ac:dyDescent="0.25">
      <c r="A57" t="b">
        <f>AND(IF(predictwithfallbackConfidences!$E57=predictwithfallbackConfidences!$B57,1,0),IF(predictwithfallbackConfidences!$E57=Sheet1!A$2,1,0))</f>
        <v>0</v>
      </c>
      <c r="B57" t="b">
        <f>AND(IF(predictwithfallbackConfidences!$E57=predictwithfallbackConfidences!$B57,1,0),IF(predictwithfallbackConfidences!$E57=Sheet1!B$2,1,0))</f>
        <v>0</v>
      </c>
      <c r="C57" t="b">
        <f>AND(IF(predictwithfallbackConfidences!$E57=predictwithfallbackConfidences!$B57,1,0),IF(predictwithfallbackConfidences!$E57=Sheet1!C$2,1,0))</f>
        <v>0</v>
      </c>
      <c r="D57" t="b">
        <f>AND(IF(predictwithfallbackConfidences!$E57=predictwithfallbackConfidences!$B57,1,0),IF(predictwithfallbackConfidences!$E57=Sheet1!D$2,1,0))</f>
        <v>1</v>
      </c>
      <c r="F57" t="b">
        <f>AND(IF(predictwithfallbackConfidences!$E57=predictwithfallbackConfidences!$B57,0,1),IF(predictwithfallbackConfidences!$E57=Sheet1!A$2,1,0))</f>
        <v>0</v>
      </c>
      <c r="G57" t="b">
        <f>AND(IF(predictwithfallbackConfidences!$E57=predictwithfallbackConfidences!$B57,0,1),IF(predictwithfallbackConfidences!$E57=Sheet1!B$2,1,0))</f>
        <v>0</v>
      </c>
      <c r="H57" t="b">
        <f>AND(IF(predictwithfallbackConfidences!$E57=predictwithfallbackConfidences!$B57,0,1),IF(predictwithfallbackConfidences!$E57=Sheet1!C$2,1,0))</f>
        <v>0</v>
      </c>
      <c r="I57" t="b">
        <f>AND(IF(predictwithfallbackConfidences!$E57=predictwithfallbackConfidences!$B57,0,1),IF(predictwithfallbackConfidences!$E57=Sheet1!D$2,1,0))</f>
        <v>0</v>
      </c>
      <c r="K57" t="b">
        <f>AND(IF(predictwithfallbackConfidences!$E57=predictwithfallbackConfidences!$B57,0,1),IF(predictwithfallbackConfidences!$B57=Sheet1!A$2,1,0))</f>
        <v>0</v>
      </c>
      <c r="L57" t="b">
        <f>AND(IF(predictwithfallbackConfidences!$E57=predictwithfallbackConfidences!$B57,0,1),IF(predictwithfallbackConfidences!$B57=Sheet1!B$2,1,0))</f>
        <v>0</v>
      </c>
      <c r="M57" t="b">
        <f>AND(IF(predictwithfallbackConfidences!$E57=predictwithfallbackConfidences!$B57,0,1),IF(predictwithfallbackConfidences!$B57=Sheet1!C$2,1,0))</f>
        <v>0</v>
      </c>
      <c r="N57" t="b">
        <f>AND(IF(predictwithfallbackConfidences!$E57=predictwithfallbackConfidences!$B57,0,1),IF(predictwithfallbackConfidences!$B57=Sheet1!D$2,1,0))</f>
        <v>0</v>
      </c>
      <c r="Q57" t="b">
        <f>AND(IF(predictwithfallbackConfidences!$F57=predictwithfallbackConfidences!$B57,1,0),IF(predictwithfallbackConfidences!$F57=Sheet1!A$2,1,0))</f>
        <v>0</v>
      </c>
      <c r="R57" t="b">
        <f>AND(IF(predictwithfallbackConfidences!$F57=predictwithfallbackConfidences!$B57,1,0),IF(predictwithfallbackConfidences!$F57=Sheet1!B$2,1,0))</f>
        <v>0</v>
      </c>
      <c r="S57" t="b">
        <f>AND(IF(predictwithfallbackConfidences!$F57=predictwithfallbackConfidences!$B57,1,0),IF(predictwithfallbackConfidences!$F57=Sheet1!C$2,1,0))</f>
        <v>0</v>
      </c>
      <c r="T57" t="b">
        <f>AND(IF(predictwithfallbackConfidences!$F57=predictwithfallbackConfidences!$B57,1,0),IF(predictwithfallbackConfidences!$F57=Sheet1!D$2,1,0))</f>
        <v>1</v>
      </c>
      <c r="V57" t="b">
        <f>AND(IF(predictwithfallbackConfidences!$F57=predictwithfallbackConfidences!$B57,0,1),IF(predictwithfallbackConfidences!$F57=Sheet1!A$2,1,0))</f>
        <v>0</v>
      </c>
      <c r="W57" t="b">
        <f>AND(IF(predictwithfallbackConfidences!$F57=predictwithfallbackConfidences!$B57,0,1),IF(predictwithfallbackConfidences!$F57=Sheet1!B$2,1,0))</f>
        <v>0</v>
      </c>
      <c r="X57" t="b">
        <f>AND(IF(predictwithfallbackConfidences!$F57=predictwithfallbackConfidences!$B57,0,1),IF(predictwithfallbackConfidences!$F57=Sheet1!C$2,1,0))</f>
        <v>0</v>
      </c>
      <c r="Y57" t="b">
        <f>AND(IF(predictwithfallbackConfidences!$F57=predictwithfallbackConfidences!$B57,0,1),IF(predictwithfallbackConfidences!$F57=Sheet1!D$2,1,0))</f>
        <v>0</v>
      </c>
      <c r="AA57" t="b">
        <f>AND(IF(predictwithfallbackConfidences!$F57=predictwithfallbackConfidences!$B57,0,1),IF(predictwithfallbackConfidences!$B57=Sheet1!A$2,1,0))</f>
        <v>0</v>
      </c>
      <c r="AB57" t="b">
        <f>AND(IF(predictwithfallbackConfidences!$F57=predictwithfallbackConfidences!$B57,0,1),IF(predictwithfallbackConfidences!$B57=Sheet1!B$2,1,0))</f>
        <v>0</v>
      </c>
      <c r="AC57" t="b">
        <f>AND(IF(predictwithfallbackConfidences!$F57=predictwithfallbackConfidences!$B57,0,1),IF(predictwithfallbackConfidences!$B57=Sheet1!C$2,1,0))</f>
        <v>0</v>
      </c>
      <c r="AD57" t="b">
        <f>AND(IF(predictwithfallbackConfidences!$F57=predictwithfallbackConfidences!$B57,0,1),IF(predictwithfallbackConfidences!$B57=Sheet1!D$2,1,0))</f>
        <v>0</v>
      </c>
    </row>
    <row r="58" spans="1:30" x14ac:dyDescent="0.25">
      <c r="A58" t="b">
        <f>AND(IF(predictwithfallbackConfidences!$E58=predictwithfallbackConfidences!$B58,1,0),IF(predictwithfallbackConfidences!$E58=Sheet1!A$2,1,0))</f>
        <v>0</v>
      </c>
      <c r="B58" t="b">
        <f>AND(IF(predictwithfallbackConfidences!$E58=predictwithfallbackConfidences!$B58,1,0),IF(predictwithfallbackConfidences!$E58=Sheet1!B$2,1,0))</f>
        <v>0</v>
      </c>
      <c r="C58" t="b">
        <f>AND(IF(predictwithfallbackConfidences!$E58=predictwithfallbackConfidences!$B58,1,0),IF(predictwithfallbackConfidences!$E58=Sheet1!C$2,1,0))</f>
        <v>0</v>
      </c>
      <c r="D58" t="b">
        <f>AND(IF(predictwithfallbackConfidences!$E58=predictwithfallbackConfidences!$B58,1,0),IF(predictwithfallbackConfidences!$E58=Sheet1!D$2,1,0))</f>
        <v>0</v>
      </c>
      <c r="F58" t="b">
        <f>AND(IF(predictwithfallbackConfidences!$E58=predictwithfallbackConfidences!$B58,0,1),IF(predictwithfallbackConfidences!$E58=Sheet1!A$2,1,0))</f>
        <v>1</v>
      </c>
      <c r="G58" t="b">
        <f>AND(IF(predictwithfallbackConfidences!$E58=predictwithfallbackConfidences!$B58,0,1),IF(predictwithfallbackConfidences!$E58=Sheet1!B$2,1,0))</f>
        <v>0</v>
      </c>
      <c r="H58" t="b">
        <f>AND(IF(predictwithfallbackConfidences!$E58=predictwithfallbackConfidences!$B58,0,1),IF(predictwithfallbackConfidences!$E58=Sheet1!C$2,1,0))</f>
        <v>0</v>
      </c>
      <c r="I58" t="b">
        <f>AND(IF(predictwithfallbackConfidences!$E58=predictwithfallbackConfidences!$B58,0,1),IF(predictwithfallbackConfidences!$E58=Sheet1!D$2,1,0))</f>
        <v>0</v>
      </c>
      <c r="K58" t="b">
        <f>AND(IF(predictwithfallbackConfidences!$E58=predictwithfallbackConfidences!$B58,0,1),IF(predictwithfallbackConfidences!$B58=Sheet1!A$2,1,0))</f>
        <v>0</v>
      </c>
      <c r="L58" t="b">
        <f>AND(IF(predictwithfallbackConfidences!$E58=predictwithfallbackConfidences!$B58,0,1),IF(predictwithfallbackConfidences!$B58=Sheet1!B$2,1,0))</f>
        <v>1</v>
      </c>
      <c r="M58" t="b">
        <f>AND(IF(predictwithfallbackConfidences!$E58=predictwithfallbackConfidences!$B58,0,1),IF(predictwithfallbackConfidences!$B58=Sheet1!C$2,1,0))</f>
        <v>0</v>
      </c>
      <c r="N58" t="b">
        <f>AND(IF(predictwithfallbackConfidences!$E58=predictwithfallbackConfidences!$B58,0,1),IF(predictwithfallbackConfidences!$B58=Sheet1!D$2,1,0))</f>
        <v>0</v>
      </c>
      <c r="Q58" t="b">
        <f>AND(IF(predictwithfallbackConfidences!$F58=predictwithfallbackConfidences!$B58,1,0),IF(predictwithfallbackConfidences!$F58=Sheet1!A$2,1,0))</f>
        <v>0</v>
      </c>
      <c r="R58" t="b">
        <f>AND(IF(predictwithfallbackConfidences!$F58=predictwithfallbackConfidences!$B58,1,0),IF(predictwithfallbackConfidences!$F58=Sheet1!B$2,1,0))</f>
        <v>0</v>
      </c>
      <c r="S58" t="b">
        <f>AND(IF(predictwithfallbackConfidences!$F58=predictwithfallbackConfidences!$B58,1,0),IF(predictwithfallbackConfidences!$F58=Sheet1!C$2,1,0))</f>
        <v>0</v>
      </c>
      <c r="T58" t="b">
        <f>AND(IF(predictwithfallbackConfidences!$F58=predictwithfallbackConfidences!$B58,1,0),IF(predictwithfallbackConfidences!$F58=Sheet1!D$2,1,0))</f>
        <v>0</v>
      </c>
      <c r="V58" t="b">
        <f>AND(IF(predictwithfallbackConfidences!$F58=predictwithfallbackConfidences!$B58,0,1),IF(predictwithfallbackConfidences!$F58=Sheet1!A$2,1,0))</f>
        <v>1</v>
      </c>
      <c r="W58" t="b">
        <f>AND(IF(predictwithfallbackConfidences!$F58=predictwithfallbackConfidences!$B58,0,1),IF(predictwithfallbackConfidences!$F58=Sheet1!B$2,1,0))</f>
        <v>0</v>
      </c>
      <c r="X58" t="b">
        <f>AND(IF(predictwithfallbackConfidences!$F58=predictwithfallbackConfidences!$B58,0,1),IF(predictwithfallbackConfidences!$F58=Sheet1!C$2,1,0))</f>
        <v>0</v>
      </c>
      <c r="Y58" t="b">
        <f>AND(IF(predictwithfallbackConfidences!$F58=predictwithfallbackConfidences!$B58,0,1),IF(predictwithfallbackConfidences!$F58=Sheet1!D$2,1,0))</f>
        <v>0</v>
      </c>
      <c r="AA58" t="b">
        <f>AND(IF(predictwithfallbackConfidences!$F58=predictwithfallbackConfidences!$B58,0,1),IF(predictwithfallbackConfidences!$B58=Sheet1!A$2,1,0))</f>
        <v>0</v>
      </c>
      <c r="AB58" t="b">
        <f>AND(IF(predictwithfallbackConfidences!$F58=predictwithfallbackConfidences!$B58,0,1),IF(predictwithfallbackConfidences!$B58=Sheet1!B$2,1,0))</f>
        <v>1</v>
      </c>
      <c r="AC58" t="b">
        <f>AND(IF(predictwithfallbackConfidences!$F58=predictwithfallbackConfidences!$B58,0,1),IF(predictwithfallbackConfidences!$B58=Sheet1!C$2,1,0))</f>
        <v>0</v>
      </c>
      <c r="AD58" t="b">
        <f>AND(IF(predictwithfallbackConfidences!$F58=predictwithfallbackConfidences!$B58,0,1),IF(predictwithfallbackConfidences!$B58=Sheet1!D$2,1,0))</f>
        <v>0</v>
      </c>
    </row>
    <row r="59" spans="1:30" x14ac:dyDescent="0.25">
      <c r="A59" t="b">
        <f>AND(IF(predictwithfallbackConfidences!$E59=predictwithfallbackConfidences!$B59,1,0),IF(predictwithfallbackConfidences!$E59=Sheet1!A$2,1,0))</f>
        <v>0</v>
      </c>
      <c r="B59" t="b">
        <f>AND(IF(predictwithfallbackConfidences!$E59=predictwithfallbackConfidences!$B59,1,0),IF(predictwithfallbackConfidences!$E59=Sheet1!B$2,1,0))</f>
        <v>1</v>
      </c>
      <c r="C59" t="b">
        <f>AND(IF(predictwithfallbackConfidences!$E59=predictwithfallbackConfidences!$B59,1,0),IF(predictwithfallbackConfidences!$E59=Sheet1!C$2,1,0))</f>
        <v>0</v>
      </c>
      <c r="D59" t="b">
        <f>AND(IF(predictwithfallbackConfidences!$E59=predictwithfallbackConfidences!$B59,1,0),IF(predictwithfallbackConfidences!$E59=Sheet1!D$2,1,0))</f>
        <v>0</v>
      </c>
      <c r="F59" t="b">
        <f>AND(IF(predictwithfallbackConfidences!$E59=predictwithfallbackConfidences!$B59,0,1),IF(predictwithfallbackConfidences!$E59=Sheet1!A$2,1,0))</f>
        <v>0</v>
      </c>
      <c r="G59" t="b">
        <f>AND(IF(predictwithfallbackConfidences!$E59=predictwithfallbackConfidences!$B59,0,1),IF(predictwithfallbackConfidences!$E59=Sheet1!B$2,1,0))</f>
        <v>0</v>
      </c>
      <c r="H59" t="b">
        <f>AND(IF(predictwithfallbackConfidences!$E59=predictwithfallbackConfidences!$B59,0,1),IF(predictwithfallbackConfidences!$E59=Sheet1!C$2,1,0))</f>
        <v>0</v>
      </c>
      <c r="I59" t="b">
        <f>AND(IF(predictwithfallbackConfidences!$E59=predictwithfallbackConfidences!$B59,0,1),IF(predictwithfallbackConfidences!$E59=Sheet1!D$2,1,0))</f>
        <v>0</v>
      </c>
      <c r="K59" t="b">
        <f>AND(IF(predictwithfallbackConfidences!$E59=predictwithfallbackConfidences!$B59,0,1),IF(predictwithfallbackConfidences!$B59=Sheet1!A$2,1,0))</f>
        <v>0</v>
      </c>
      <c r="L59" t="b">
        <f>AND(IF(predictwithfallbackConfidences!$E59=predictwithfallbackConfidences!$B59,0,1),IF(predictwithfallbackConfidences!$B59=Sheet1!B$2,1,0))</f>
        <v>0</v>
      </c>
      <c r="M59" t="b">
        <f>AND(IF(predictwithfallbackConfidences!$E59=predictwithfallbackConfidences!$B59,0,1),IF(predictwithfallbackConfidences!$B59=Sheet1!C$2,1,0))</f>
        <v>0</v>
      </c>
      <c r="N59" t="b">
        <f>AND(IF(predictwithfallbackConfidences!$E59=predictwithfallbackConfidences!$B59,0,1),IF(predictwithfallbackConfidences!$B59=Sheet1!D$2,1,0))</f>
        <v>0</v>
      </c>
      <c r="Q59" t="b">
        <f>AND(IF(predictwithfallbackConfidences!$F59=predictwithfallbackConfidences!$B59,1,0),IF(predictwithfallbackConfidences!$F59=Sheet1!A$2,1,0))</f>
        <v>0</v>
      </c>
      <c r="R59" t="b">
        <f>AND(IF(predictwithfallbackConfidences!$F59=predictwithfallbackConfidences!$B59,1,0),IF(predictwithfallbackConfidences!$F59=Sheet1!B$2,1,0))</f>
        <v>0</v>
      </c>
      <c r="S59" t="b">
        <f>AND(IF(predictwithfallbackConfidences!$F59=predictwithfallbackConfidences!$B59,1,0),IF(predictwithfallbackConfidences!$F59=Sheet1!C$2,1,0))</f>
        <v>0</v>
      </c>
      <c r="T59" t="b">
        <f>AND(IF(predictwithfallbackConfidences!$F59=predictwithfallbackConfidences!$B59,1,0),IF(predictwithfallbackConfidences!$F59=Sheet1!D$2,1,0))</f>
        <v>0</v>
      </c>
      <c r="V59" t="b">
        <f>AND(IF(predictwithfallbackConfidences!$F59=predictwithfallbackConfidences!$B59,0,1),IF(predictwithfallbackConfidences!$F59=Sheet1!A$2,1,0))</f>
        <v>0</v>
      </c>
      <c r="W59" t="b">
        <f>AND(IF(predictwithfallbackConfidences!$F59=predictwithfallbackConfidences!$B59,0,1),IF(predictwithfallbackConfidences!$F59=Sheet1!B$2,1,0))</f>
        <v>0</v>
      </c>
      <c r="X59" t="b">
        <f>AND(IF(predictwithfallbackConfidences!$F59=predictwithfallbackConfidences!$B59,0,1),IF(predictwithfallbackConfidences!$F59=Sheet1!C$2,1,0))</f>
        <v>1</v>
      </c>
      <c r="Y59" t="b">
        <f>AND(IF(predictwithfallbackConfidences!$F59=predictwithfallbackConfidences!$B59,0,1),IF(predictwithfallbackConfidences!$F59=Sheet1!D$2,1,0))</f>
        <v>0</v>
      </c>
      <c r="AA59" t="b">
        <f>AND(IF(predictwithfallbackConfidences!$F59=predictwithfallbackConfidences!$B59,0,1),IF(predictwithfallbackConfidences!$B59=Sheet1!A$2,1,0))</f>
        <v>0</v>
      </c>
      <c r="AB59" t="b">
        <f>AND(IF(predictwithfallbackConfidences!$F59=predictwithfallbackConfidences!$B59,0,1),IF(predictwithfallbackConfidences!$B59=Sheet1!B$2,1,0))</f>
        <v>1</v>
      </c>
      <c r="AC59" t="b">
        <f>AND(IF(predictwithfallbackConfidences!$F59=predictwithfallbackConfidences!$B59,0,1),IF(predictwithfallbackConfidences!$B59=Sheet1!C$2,1,0))</f>
        <v>0</v>
      </c>
      <c r="AD59" t="b">
        <f>AND(IF(predictwithfallbackConfidences!$F59=predictwithfallbackConfidences!$B59,0,1),IF(predictwithfallbackConfidences!$B59=Sheet1!D$2,1,0))</f>
        <v>0</v>
      </c>
    </row>
    <row r="60" spans="1:30" x14ac:dyDescent="0.25">
      <c r="A60" t="b">
        <f>AND(IF(predictwithfallbackConfidences!$E60=predictwithfallbackConfidences!$B60,1,0),IF(predictwithfallbackConfidences!$E60=Sheet1!A$2,1,0))</f>
        <v>0</v>
      </c>
      <c r="B60" t="b">
        <f>AND(IF(predictwithfallbackConfidences!$E60=predictwithfallbackConfidences!$B60,1,0),IF(predictwithfallbackConfidences!$E60=Sheet1!B$2,1,0))</f>
        <v>1</v>
      </c>
      <c r="C60" t="b">
        <f>AND(IF(predictwithfallbackConfidences!$E60=predictwithfallbackConfidences!$B60,1,0),IF(predictwithfallbackConfidences!$E60=Sheet1!C$2,1,0))</f>
        <v>0</v>
      </c>
      <c r="D60" t="b">
        <f>AND(IF(predictwithfallbackConfidences!$E60=predictwithfallbackConfidences!$B60,1,0),IF(predictwithfallbackConfidences!$E60=Sheet1!D$2,1,0))</f>
        <v>0</v>
      </c>
      <c r="F60" t="b">
        <f>AND(IF(predictwithfallbackConfidences!$E60=predictwithfallbackConfidences!$B60,0,1),IF(predictwithfallbackConfidences!$E60=Sheet1!A$2,1,0))</f>
        <v>0</v>
      </c>
      <c r="G60" t="b">
        <f>AND(IF(predictwithfallbackConfidences!$E60=predictwithfallbackConfidences!$B60,0,1),IF(predictwithfallbackConfidences!$E60=Sheet1!B$2,1,0))</f>
        <v>0</v>
      </c>
      <c r="H60" t="b">
        <f>AND(IF(predictwithfallbackConfidences!$E60=predictwithfallbackConfidences!$B60,0,1),IF(predictwithfallbackConfidences!$E60=Sheet1!C$2,1,0))</f>
        <v>0</v>
      </c>
      <c r="I60" t="b">
        <f>AND(IF(predictwithfallbackConfidences!$E60=predictwithfallbackConfidences!$B60,0,1),IF(predictwithfallbackConfidences!$E60=Sheet1!D$2,1,0))</f>
        <v>0</v>
      </c>
      <c r="K60" t="b">
        <f>AND(IF(predictwithfallbackConfidences!$E60=predictwithfallbackConfidences!$B60,0,1),IF(predictwithfallbackConfidences!$B60=Sheet1!A$2,1,0))</f>
        <v>0</v>
      </c>
      <c r="L60" t="b">
        <f>AND(IF(predictwithfallbackConfidences!$E60=predictwithfallbackConfidences!$B60,0,1),IF(predictwithfallbackConfidences!$B60=Sheet1!B$2,1,0))</f>
        <v>0</v>
      </c>
      <c r="M60" t="b">
        <f>AND(IF(predictwithfallbackConfidences!$E60=predictwithfallbackConfidences!$B60,0,1),IF(predictwithfallbackConfidences!$B60=Sheet1!C$2,1,0))</f>
        <v>0</v>
      </c>
      <c r="N60" t="b">
        <f>AND(IF(predictwithfallbackConfidences!$E60=predictwithfallbackConfidences!$B60,0,1),IF(predictwithfallbackConfidences!$B60=Sheet1!D$2,1,0))</f>
        <v>0</v>
      </c>
      <c r="Q60" t="b">
        <f>AND(IF(predictwithfallbackConfidences!$F60=predictwithfallbackConfidences!$B60,1,0),IF(predictwithfallbackConfidences!$F60=Sheet1!A$2,1,0))</f>
        <v>0</v>
      </c>
      <c r="R60" t="b">
        <f>AND(IF(predictwithfallbackConfidences!$F60=predictwithfallbackConfidences!$B60,1,0),IF(predictwithfallbackConfidences!$F60=Sheet1!B$2,1,0))</f>
        <v>0</v>
      </c>
      <c r="S60" t="b">
        <f>AND(IF(predictwithfallbackConfidences!$F60=predictwithfallbackConfidences!$B60,1,0),IF(predictwithfallbackConfidences!$F60=Sheet1!C$2,1,0))</f>
        <v>0</v>
      </c>
      <c r="T60" t="b">
        <f>AND(IF(predictwithfallbackConfidences!$F60=predictwithfallbackConfidences!$B60,1,0),IF(predictwithfallbackConfidences!$F60=Sheet1!D$2,1,0))</f>
        <v>0</v>
      </c>
      <c r="V60" t="b">
        <f>AND(IF(predictwithfallbackConfidences!$F60=predictwithfallbackConfidences!$B60,0,1),IF(predictwithfallbackConfidences!$F60=Sheet1!A$2,1,0))</f>
        <v>0</v>
      </c>
      <c r="W60" t="b">
        <f>AND(IF(predictwithfallbackConfidences!$F60=predictwithfallbackConfidences!$B60,0,1),IF(predictwithfallbackConfidences!$F60=Sheet1!B$2,1,0))</f>
        <v>0</v>
      </c>
      <c r="X60" t="b">
        <f>AND(IF(predictwithfallbackConfidences!$F60=predictwithfallbackConfidences!$B60,0,1),IF(predictwithfallbackConfidences!$F60=Sheet1!C$2,1,0))</f>
        <v>1</v>
      </c>
      <c r="Y60" t="b">
        <f>AND(IF(predictwithfallbackConfidences!$F60=predictwithfallbackConfidences!$B60,0,1),IF(predictwithfallbackConfidences!$F60=Sheet1!D$2,1,0))</f>
        <v>0</v>
      </c>
      <c r="AA60" t="b">
        <f>AND(IF(predictwithfallbackConfidences!$F60=predictwithfallbackConfidences!$B60,0,1),IF(predictwithfallbackConfidences!$B60=Sheet1!A$2,1,0))</f>
        <v>0</v>
      </c>
      <c r="AB60" t="b">
        <f>AND(IF(predictwithfallbackConfidences!$F60=predictwithfallbackConfidences!$B60,0,1),IF(predictwithfallbackConfidences!$B60=Sheet1!B$2,1,0))</f>
        <v>1</v>
      </c>
      <c r="AC60" t="b">
        <f>AND(IF(predictwithfallbackConfidences!$F60=predictwithfallbackConfidences!$B60,0,1),IF(predictwithfallbackConfidences!$B60=Sheet1!C$2,1,0))</f>
        <v>0</v>
      </c>
      <c r="AD60" t="b">
        <f>AND(IF(predictwithfallbackConfidences!$F60=predictwithfallbackConfidences!$B60,0,1),IF(predictwithfallbackConfidences!$B60=Sheet1!D$2,1,0))</f>
        <v>0</v>
      </c>
    </row>
    <row r="61" spans="1:30" x14ac:dyDescent="0.25">
      <c r="A61" t="b">
        <f>AND(IF(predictwithfallbackConfidences!$E61=predictwithfallbackConfidences!$B61,1,0),IF(predictwithfallbackConfidences!$E61=Sheet1!A$2,1,0))</f>
        <v>0</v>
      </c>
      <c r="B61" t="b">
        <f>AND(IF(predictwithfallbackConfidences!$E61=predictwithfallbackConfidences!$B61,1,0),IF(predictwithfallbackConfidences!$E61=Sheet1!B$2,1,0))</f>
        <v>0</v>
      </c>
      <c r="C61" t="b">
        <f>AND(IF(predictwithfallbackConfidences!$E61=predictwithfallbackConfidences!$B61,1,0),IF(predictwithfallbackConfidences!$E61=Sheet1!C$2,1,0))</f>
        <v>0</v>
      </c>
      <c r="D61" t="b">
        <f>AND(IF(predictwithfallbackConfidences!$E61=predictwithfallbackConfidences!$B61,1,0),IF(predictwithfallbackConfidences!$E61=Sheet1!D$2,1,0))</f>
        <v>0</v>
      </c>
      <c r="F61" t="b">
        <f>AND(IF(predictwithfallbackConfidences!$E61=predictwithfallbackConfidences!$B61,0,1),IF(predictwithfallbackConfidences!$E61=Sheet1!A$2,1,0))</f>
        <v>1</v>
      </c>
      <c r="G61" t="b">
        <f>AND(IF(predictwithfallbackConfidences!$E61=predictwithfallbackConfidences!$B61,0,1),IF(predictwithfallbackConfidences!$E61=Sheet1!B$2,1,0))</f>
        <v>0</v>
      </c>
      <c r="H61" t="b">
        <f>AND(IF(predictwithfallbackConfidences!$E61=predictwithfallbackConfidences!$B61,0,1),IF(predictwithfallbackConfidences!$E61=Sheet1!C$2,1,0))</f>
        <v>0</v>
      </c>
      <c r="I61" t="b">
        <f>AND(IF(predictwithfallbackConfidences!$E61=predictwithfallbackConfidences!$B61,0,1),IF(predictwithfallbackConfidences!$E61=Sheet1!D$2,1,0))</f>
        <v>0</v>
      </c>
      <c r="K61" t="b">
        <f>AND(IF(predictwithfallbackConfidences!$E61=predictwithfallbackConfidences!$B61,0,1),IF(predictwithfallbackConfidences!$B61=Sheet1!A$2,1,0))</f>
        <v>0</v>
      </c>
      <c r="L61" t="b">
        <f>AND(IF(predictwithfallbackConfidences!$E61=predictwithfallbackConfidences!$B61,0,1),IF(predictwithfallbackConfidences!$B61=Sheet1!B$2,1,0))</f>
        <v>1</v>
      </c>
      <c r="M61" t="b">
        <f>AND(IF(predictwithfallbackConfidences!$E61=predictwithfallbackConfidences!$B61,0,1),IF(predictwithfallbackConfidences!$B61=Sheet1!C$2,1,0))</f>
        <v>0</v>
      </c>
      <c r="N61" t="b">
        <f>AND(IF(predictwithfallbackConfidences!$E61=predictwithfallbackConfidences!$B61,0,1),IF(predictwithfallbackConfidences!$B61=Sheet1!D$2,1,0))</f>
        <v>0</v>
      </c>
      <c r="Q61" t="b">
        <f>AND(IF(predictwithfallbackConfidences!$F61=predictwithfallbackConfidences!$B61,1,0),IF(predictwithfallbackConfidences!$F61=Sheet1!A$2,1,0))</f>
        <v>0</v>
      </c>
      <c r="R61" t="b">
        <f>AND(IF(predictwithfallbackConfidences!$F61=predictwithfallbackConfidences!$B61,1,0),IF(predictwithfallbackConfidences!$F61=Sheet1!B$2,1,0))</f>
        <v>0</v>
      </c>
      <c r="S61" t="b">
        <f>AND(IF(predictwithfallbackConfidences!$F61=predictwithfallbackConfidences!$B61,1,0),IF(predictwithfallbackConfidences!$F61=Sheet1!C$2,1,0))</f>
        <v>0</v>
      </c>
      <c r="T61" t="b">
        <f>AND(IF(predictwithfallbackConfidences!$F61=predictwithfallbackConfidences!$B61,1,0),IF(predictwithfallbackConfidences!$F61=Sheet1!D$2,1,0))</f>
        <v>0</v>
      </c>
      <c r="V61" t="b">
        <f>AND(IF(predictwithfallbackConfidences!$F61=predictwithfallbackConfidences!$B61,0,1),IF(predictwithfallbackConfidences!$F61=Sheet1!A$2,1,0))</f>
        <v>1</v>
      </c>
      <c r="W61" t="b">
        <f>AND(IF(predictwithfallbackConfidences!$F61=predictwithfallbackConfidences!$B61,0,1),IF(predictwithfallbackConfidences!$F61=Sheet1!B$2,1,0))</f>
        <v>0</v>
      </c>
      <c r="X61" t="b">
        <f>AND(IF(predictwithfallbackConfidences!$F61=predictwithfallbackConfidences!$B61,0,1),IF(predictwithfallbackConfidences!$F61=Sheet1!C$2,1,0))</f>
        <v>0</v>
      </c>
      <c r="Y61" t="b">
        <f>AND(IF(predictwithfallbackConfidences!$F61=predictwithfallbackConfidences!$B61,0,1),IF(predictwithfallbackConfidences!$F61=Sheet1!D$2,1,0))</f>
        <v>0</v>
      </c>
      <c r="AA61" t="b">
        <f>AND(IF(predictwithfallbackConfidences!$F61=predictwithfallbackConfidences!$B61,0,1),IF(predictwithfallbackConfidences!$B61=Sheet1!A$2,1,0))</f>
        <v>0</v>
      </c>
      <c r="AB61" t="b">
        <f>AND(IF(predictwithfallbackConfidences!$F61=predictwithfallbackConfidences!$B61,0,1),IF(predictwithfallbackConfidences!$B61=Sheet1!B$2,1,0))</f>
        <v>1</v>
      </c>
      <c r="AC61" t="b">
        <f>AND(IF(predictwithfallbackConfidences!$F61=predictwithfallbackConfidences!$B61,0,1),IF(predictwithfallbackConfidences!$B61=Sheet1!C$2,1,0))</f>
        <v>0</v>
      </c>
      <c r="AD61" t="b">
        <f>AND(IF(predictwithfallbackConfidences!$F61=predictwithfallbackConfidences!$B61,0,1),IF(predictwithfallbackConfidences!$B61=Sheet1!D$2,1,0))</f>
        <v>0</v>
      </c>
    </row>
    <row r="62" spans="1:30" x14ac:dyDescent="0.25">
      <c r="A62" t="b">
        <f>AND(IF(predictwithfallbackConfidences!$E62=predictwithfallbackConfidences!$B62,1,0),IF(predictwithfallbackConfidences!$E62=Sheet1!A$2,1,0))</f>
        <v>0</v>
      </c>
      <c r="B62" t="b">
        <f>AND(IF(predictwithfallbackConfidences!$E62=predictwithfallbackConfidences!$B62,1,0),IF(predictwithfallbackConfidences!$E62=Sheet1!B$2,1,0))</f>
        <v>1</v>
      </c>
      <c r="C62" t="b">
        <f>AND(IF(predictwithfallbackConfidences!$E62=predictwithfallbackConfidences!$B62,1,0),IF(predictwithfallbackConfidences!$E62=Sheet1!C$2,1,0))</f>
        <v>0</v>
      </c>
      <c r="D62" t="b">
        <f>AND(IF(predictwithfallbackConfidences!$E62=predictwithfallbackConfidences!$B62,1,0),IF(predictwithfallbackConfidences!$E62=Sheet1!D$2,1,0))</f>
        <v>0</v>
      </c>
      <c r="F62" t="b">
        <f>AND(IF(predictwithfallbackConfidences!$E62=predictwithfallbackConfidences!$B62,0,1),IF(predictwithfallbackConfidences!$E62=Sheet1!A$2,1,0))</f>
        <v>0</v>
      </c>
      <c r="G62" t="b">
        <f>AND(IF(predictwithfallbackConfidences!$E62=predictwithfallbackConfidences!$B62,0,1),IF(predictwithfallbackConfidences!$E62=Sheet1!B$2,1,0))</f>
        <v>0</v>
      </c>
      <c r="H62" t="b">
        <f>AND(IF(predictwithfallbackConfidences!$E62=predictwithfallbackConfidences!$B62,0,1),IF(predictwithfallbackConfidences!$E62=Sheet1!C$2,1,0))</f>
        <v>0</v>
      </c>
      <c r="I62" t="b">
        <f>AND(IF(predictwithfallbackConfidences!$E62=predictwithfallbackConfidences!$B62,0,1),IF(predictwithfallbackConfidences!$E62=Sheet1!D$2,1,0))</f>
        <v>0</v>
      </c>
      <c r="K62" t="b">
        <f>AND(IF(predictwithfallbackConfidences!$E62=predictwithfallbackConfidences!$B62,0,1),IF(predictwithfallbackConfidences!$B62=Sheet1!A$2,1,0))</f>
        <v>0</v>
      </c>
      <c r="L62" t="b">
        <f>AND(IF(predictwithfallbackConfidences!$E62=predictwithfallbackConfidences!$B62,0,1),IF(predictwithfallbackConfidences!$B62=Sheet1!B$2,1,0))</f>
        <v>0</v>
      </c>
      <c r="M62" t="b">
        <f>AND(IF(predictwithfallbackConfidences!$E62=predictwithfallbackConfidences!$B62,0,1),IF(predictwithfallbackConfidences!$B62=Sheet1!C$2,1,0))</f>
        <v>0</v>
      </c>
      <c r="N62" t="b">
        <f>AND(IF(predictwithfallbackConfidences!$E62=predictwithfallbackConfidences!$B62,0,1),IF(predictwithfallbackConfidences!$B62=Sheet1!D$2,1,0))</f>
        <v>0</v>
      </c>
      <c r="Q62" t="b">
        <f>AND(IF(predictwithfallbackConfidences!$F62=predictwithfallbackConfidences!$B62,1,0),IF(predictwithfallbackConfidences!$F62=Sheet1!A$2,1,0))</f>
        <v>0</v>
      </c>
      <c r="R62" t="b">
        <f>AND(IF(predictwithfallbackConfidences!$F62=predictwithfallbackConfidences!$B62,1,0),IF(predictwithfallbackConfidences!$F62=Sheet1!B$2,1,0))</f>
        <v>1</v>
      </c>
      <c r="S62" t="b">
        <f>AND(IF(predictwithfallbackConfidences!$F62=predictwithfallbackConfidences!$B62,1,0),IF(predictwithfallbackConfidences!$F62=Sheet1!C$2,1,0))</f>
        <v>0</v>
      </c>
      <c r="T62" t="b">
        <f>AND(IF(predictwithfallbackConfidences!$F62=predictwithfallbackConfidences!$B62,1,0),IF(predictwithfallbackConfidences!$F62=Sheet1!D$2,1,0))</f>
        <v>0</v>
      </c>
      <c r="V62" t="b">
        <f>AND(IF(predictwithfallbackConfidences!$F62=predictwithfallbackConfidences!$B62,0,1),IF(predictwithfallbackConfidences!$F62=Sheet1!A$2,1,0))</f>
        <v>0</v>
      </c>
      <c r="W62" t="b">
        <f>AND(IF(predictwithfallbackConfidences!$F62=predictwithfallbackConfidences!$B62,0,1),IF(predictwithfallbackConfidences!$F62=Sheet1!B$2,1,0))</f>
        <v>0</v>
      </c>
      <c r="X62" t="b">
        <f>AND(IF(predictwithfallbackConfidences!$F62=predictwithfallbackConfidences!$B62,0,1),IF(predictwithfallbackConfidences!$F62=Sheet1!C$2,1,0))</f>
        <v>0</v>
      </c>
      <c r="Y62" t="b">
        <f>AND(IF(predictwithfallbackConfidences!$F62=predictwithfallbackConfidences!$B62,0,1),IF(predictwithfallbackConfidences!$F62=Sheet1!D$2,1,0))</f>
        <v>0</v>
      </c>
      <c r="AA62" t="b">
        <f>AND(IF(predictwithfallbackConfidences!$F62=predictwithfallbackConfidences!$B62,0,1),IF(predictwithfallbackConfidences!$B62=Sheet1!A$2,1,0))</f>
        <v>0</v>
      </c>
      <c r="AB62" t="b">
        <f>AND(IF(predictwithfallbackConfidences!$F62=predictwithfallbackConfidences!$B62,0,1),IF(predictwithfallbackConfidences!$B62=Sheet1!B$2,1,0))</f>
        <v>0</v>
      </c>
      <c r="AC62" t="b">
        <f>AND(IF(predictwithfallbackConfidences!$F62=predictwithfallbackConfidences!$B62,0,1),IF(predictwithfallbackConfidences!$B62=Sheet1!C$2,1,0))</f>
        <v>0</v>
      </c>
      <c r="AD62" t="b">
        <f>AND(IF(predictwithfallbackConfidences!$F62=predictwithfallbackConfidences!$B62,0,1),IF(predictwithfallbackConfidences!$B62=Sheet1!D$2,1,0))</f>
        <v>0</v>
      </c>
    </row>
    <row r="63" spans="1:30" x14ac:dyDescent="0.25">
      <c r="A63">
        <f>COUNTIF(A3:A62,TRUE)</f>
        <v>5</v>
      </c>
      <c r="B63">
        <f t="shared" ref="B63:D63" si="2">COUNTIF(B3:B62,TRUE)</f>
        <v>8</v>
      </c>
      <c r="C63">
        <f t="shared" si="2"/>
        <v>11</v>
      </c>
      <c r="D63">
        <f t="shared" si="2"/>
        <v>13</v>
      </c>
      <c r="F63">
        <f t="shared" ref="F63" si="3">COUNTIF(F3:F62,TRUE)</f>
        <v>8</v>
      </c>
      <c r="G63">
        <f t="shared" ref="G63" si="4">COUNTIF(G3:G62,TRUE)</f>
        <v>9</v>
      </c>
      <c r="H63">
        <f t="shared" ref="H63" si="5">COUNTIF(H3:H62,TRUE)</f>
        <v>3</v>
      </c>
      <c r="I63">
        <f t="shared" ref="I63" si="6">COUNTIF(I3:I62,TRUE)</f>
        <v>3</v>
      </c>
      <c r="K63">
        <f t="shared" ref="K63" si="7">COUNTIF(K3:K62,TRUE)</f>
        <v>10</v>
      </c>
      <c r="L63">
        <f t="shared" ref="L63" si="8">COUNTIF(L3:L62,TRUE)</f>
        <v>7</v>
      </c>
      <c r="M63">
        <f t="shared" ref="M63" si="9">COUNTIF(M3:M62,TRUE)</f>
        <v>4</v>
      </c>
      <c r="N63">
        <f t="shared" ref="N63" si="10">COUNTIF(N3:N62,TRUE)</f>
        <v>2</v>
      </c>
      <c r="Q63">
        <f t="shared" ref="Q63" si="11">COUNTIF(Q3:Q62,TRUE)</f>
        <v>4</v>
      </c>
      <c r="R63">
        <f t="shared" ref="R63" si="12">COUNTIF(R3:R62,TRUE)</f>
        <v>6</v>
      </c>
      <c r="S63">
        <f t="shared" ref="S63" si="13">COUNTIF(S3:S62,TRUE)</f>
        <v>11</v>
      </c>
      <c r="T63">
        <f t="shared" ref="T63" si="14">COUNTIF(T3:T62,TRUE)</f>
        <v>14</v>
      </c>
      <c r="V63">
        <f t="shared" ref="V63" si="15">COUNTIF(V3:V62,TRUE)</f>
        <v>3</v>
      </c>
      <c r="W63">
        <f t="shared" ref="W63" si="16">COUNTIF(W3:W62,TRUE)</f>
        <v>9</v>
      </c>
      <c r="X63">
        <f t="shared" ref="X63" si="17">COUNTIF(X3:X62,TRUE)</f>
        <v>9</v>
      </c>
      <c r="Y63">
        <f t="shared" ref="Y63" si="18">COUNTIF(Y3:Y62,TRUE)</f>
        <v>4</v>
      </c>
      <c r="AA63">
        <f t="shared" ref="AA63" si="19">COUNTIF(AA3:AA62,TRUE)</f>
        <v>11</v>
      </c>
      <c r="AB63">
        <f t="shared" ref="AB63" si="20">COUNTIF(AB3:AB62,TRUE)</f>
        <v>9</v>
      </c>
      <c r="AC63">
        <f t="shared" ref="AC63" si="21">COUNTIF(AC3:AC62,TRUE)</f>
        <v>4</v>
      </c>
      <c r="AD63">
        <f t="shared" ref="AD63" si="22">COUNTIF(AD3:AD62,TRUE)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F5CA-F5B3-4E99-A915-140C765DAECA}">
  <dimension ref="A1:J64"/>
  <sheetViews>
    <sheetView topLeftCell="A13" workbookViewId="0">
      <selection activeCell="V32" sqref="V32"/>
    </sheetView>
  </sheetViews>
  <sheetFormatPr defaultRowHeight="15" x14ac:dyDescent="0.25"/>
  <cols>
    <col min="3" max="3" width="11.85546875" bestFit="1" customWidth="1"/>
  </cols>
  <sheetData>
    <row r="1" spans="1:10" x14ac:dyDescent="0.25">
      <c r="A1" t="s">
        <v>119</v>
      </c>
      <c r="B1" t="s">
        <v>118</v>
      </c>
      <c r="C1" t="s">
        <v>120</v>
      </c>
      <c r="D1" t="s">
        <v>119</v>
      </c>
      <c r="E1" t="s">
        <v>121</v>
      </c>
    </row>
    <row r="2" spans="1:10" x14ac:dyDescent="0.25">
      <c r="A2">
        <v>0</v>
      </c>
      <c r="B2">
        <v>0.35350814496547711</v>
      </c>
      <c r="C2">
        <v>1</v>
      </c>
      <c r="D2">
        <v>0</v>
      </c>
      <c r="E2">
        <v>0.26616096623401603</v>
      </c>
    </row>
    <row r="3" spans="1:10" x14ac:dyDescent="0.25">
      <c r="A3">
        <v>0</v>
      </c>
      <c r="B3">
        <v>0.35694695476027094</v>
      </c>
      <c r="C3">
        <v>2</v>
      </c>
      <c r="D3">
        <v>0</v>
      </c>
      <c r="E3">
        <v>0.26625665743431698</v>
      </c>
    </row>
    <row r="4" spans="1:10" x14ac:dyDescent="0.25">
      <c r="A4">
        <v>0</v>
      </c>
      <c r="B4">
        <v>0.35774092379782385</v>
      </c>
      <c r="C4">
        <v>3</v>
      </c>
      <c r="D4">
        <v>0</v>
      </c>
      <c r="E4">
        <v>0.273074474289005</v>
      </c>
    </row>
    <row r="5" spans="1:10" x14ac:dyDescent="0.25">
      <c r="A5">
        <v>0</v>
      </c>
      <c r="B5">
        <v>0.37618657180975246</v>
      </c>
      <c r="C5">
        <v>4</v>
      </c>
      <c r="D5">
        <v>0</v>
      </c>
      <c r="E5">
        <v>0.27318368800963799</v>
      </c>
      <c r="G5">
        <f>37/60</f>
        <v>0.6166666666666667</v>
      </c>
    </row>
    <row r="6" spans="1:10" x14ac:dyDescent="0.25">
      <c r="A6">
        <v>0</v>
      </c>
      <c r="B6">
        <v>0.3772412206529443</v>
      </c>
      <c r="C6">
        <v>5</v>
      </c>
      <c r="D6">
        <v>0</v>
      </c>
      <c r="E6">
        <v>0.29383887036080297</v>
      </c>
    </row>
    <row r="7" spans="1:10" x14ac:dyDescent="0.25">
      <c r="A7">
        <v>0</v>
      </c>
      <c r="B7">
        <v>0.37745867426072233</v>
      </c>
      <c r="C7">
        <v>6</v>
      </c>
      <c r="D7">
        <v>0</v>
      </c>
      <c r="E7">
        <v>0.29952434125183203</v>
      </c>
      <c r="H7">
        <f>MEDIAN(E2:E4)</f>
        <v>0.26625665743431698</v>
      </c>
    </row>
    <row r="8" spans="1:10" x14ac:dyDescent="0.25">
      <c r="A8">
        <v>0</v>
      </c>
      <c r="B8">
        <v>0.38233701305601264</v>
      </c>
      <c r="C8">
        <v>7</v>
      </c>
      <c r="D8">
        <v>0</v>
      </c>
      <c r="E8">
        <v>0.30079248446676199</v>
      </c>
    </row>
    <row r="9" spans="1:10" x14ac:dyDescent="0.25">
      <c r="A9">
        <v>0</v>
      </c>
      <c r="B9">
        <v>0.38657856243825006</v>
      </c>
      <c r="C9">
        <v>8</v>
      </c>
      <c r="D9">
        <v>0</v>
      </c>
      <c r="E9">
        <v>0.30264695083055498</v>
      </c>
    </row>
    <row r="10" spans="1:10" x14ac:dyDescent="0.25">
      <c r="A10">
        <v>0</v>
      </c>
      <c r="B10">
        <v>0.39943166044213446</v>
      </c>
      <c r="C10">
        <v>9</v>
      </c>
      <c r="D10">
        <v>0</v>
      </c>
      <c r="E10">
        <v>0.30578924631509402</v>
      </c>
    </row>
    <row r="11" spans="1:10" x14ac:dyDescent="0.25">
      <c r="A11">
        <v>0</v>
      </c>
      <c r="B11">
        <v>0.40466151344183393</v>
      </c>
      <c r="C11">
        <v>10</v>
      </c>
      <c r="D11">
        <v>0</v>
      </c>
      <c r="E11">
        <v>0.30669161897408198</v>
      </c>
      <c r="G11">
        <f>AVERAGE(E2:E24)</f>
        <v>0.31548743951606317</v>
      </c>
    </row>
    <row r="12" spans="1:10" x14ac:dyDescent="0.25">
      <c r="A12">
        <v>0</v>
      </c>
      <c r="B12">
        <v>0.41856940826659128</v>
      </c>
      <c r="C12">
        <v>11</v>
      </c>
      <c r="D12">
        <v>0</v>
      </c>
      <c r="E12">
        <v>0.30983173188021501</v>
      </c>
      <c r="F12">
        <f>COUNT(E2:E12)</f>
        <v>11</v>
      </c>
      <c r="G12">
        <f>MEDIAN(E2:E24)</f>
        <v>0.31028752190533798</v>
      </c>
      <c r="J12">
        <f>23/2</f>
        <v>11.5</v>
      </c>
    </row>
    <row r="13" spans="1:10" x14ac:dyDescent="0.25">
      <c r="A13">
        <v>0</v>
      </c>
      <c r="B13">
        <v>0.43712993908860309</v>
      </c>
      <c r="C13">
        <v>12</v>
      </c>
      <c r="D13">
        <v>0</v>
      </c>
      <c r="E13">
        <v>0.31028752190533798</v>
      </c>
      <c r="H13">
        <f>13/23</f>
        <v>0.56521739130434778</v>
      </c>
    </row>
    <row r="14" spans="1:10" x14ac:dyDescent="0.25">
      <c r="A14">
        <v>0</v>
      </c>
      <c r="B14">
        <v>0.4439764681342645</v>
      </c>
      <c r="C14">
        <v>13</v>
      </c>
      <c r="D14">
        <v>0</v>
      </c>
      <c r="E14">
        <v>0.31236200173079998</v>
      </c>
      <c r="I14">
        <f>COUNT(E2:E24)</f>
        <v>23</v>
      </c>
    </row>
    <row r="15" spans="1:10" x14ac:dyDescent="0.25">
      <c r="A15">
        <v>0</v>
      </c>
      <c r="B15">
        <v>0.44699637319488417</v>
      </c>
      <c r="C15">
        <v>14</v>
      </c>
      <c r="D15">
        <v>0</v>
      </c>
      <c r="E15">
        <v>0.31513621467993003</v>
      </c>
    </row>
    <row r="16" spans="1:10" x14ac:dyDescent="0.25">
      <c r="A16">
        <v>0</v>
      </c>
      <c r="B16">
        <v>0.44883121855311447</v>
      </c>
      <c r="C16">
        <v>15</v>
      </c>
      <c r="D16">
        <v>0</v>
      </c>
      <c r="E16">
        <v>0.31670175758617197</v>
      </c>
    </row>
    <row r="17" spans="1:7" x14ac:dyDescent="0.25">
      <c r="A17">
        <v>0</v>
      </c>
      <c r="B17">
        <v>0.46123078422062025</v>
      </c>
      <c r="C17">
        <v>16</v>
      </c>
      <c r="D17">
        <v>0</v>
      </c>
      <c r="E17">
        <v>0.319082644425222</v>
      </c>
    </row>
    <row r="18" spans="1:7" x14ac:dyDescent="0.25">
      <c r="A18">
        <v>0</v>
      </c>
      <c r="B18">
        <v>0.46902527790089676</v>
      </c>
      <c r="C18">
        <v>17</v>
      </c>
      <c r="D18">
        <v>0</v>
      </c>
      <c r="E18">
        <v>0.33666593368013797</v>
      </c>
    </row>
    <row r="19" spans="1:7" x14ac:dyDescent="0.25">
      <c r="A19">
        <v>0</v>
      </c>
      <c r="B19">
        <v>0.47855467523424527</v>
      </c>
      <c r="C19">
        <v>18</v>
      </c>
      <c r="D19">
        <v>0</v>
      </c>
      <c r="E19">
        <v>0.33868056948148301</v>
      </c>
    </row>
    <row r="20" spans="1:7" x14ac:dyDescent="0.25">
      <c r="A20">
        <v>0</v>
      </c>
      <c r="B20">
        <v>0.50436842104824753</v>
      </c>
      <c r="C20">
        <v>19</v>
      </c>
      <c r="D20">
        <v>0</v>
      </c>
      <c r="E20">
        <v>0.33967737531686898</v>
      </c>
    </row>
    <row r="21" spans="1:7" x14ac:dyDescent="0.25">
      <c r="A21">
        <v>0</v>
      </c>
      <c r="B21">
        <v>0.51536580067143722</v>
      </c>
      <c r="C21">
        <v>20</v>
      </c>
      <c r="D21">
        <v>0</v>
      </c>
      <c r="E21">
        <v>0.360725993735245</v>
      </c>
    </row>
    <row r="22" spans="1:7" x14ac:dyDescent="0.25">
      <c r="A22">
        <v>1</v>
      </c>
      <c r="B22">
        <v>0.36695256993442199</v>
      </c>
      <c r="C22">
        <v>21</v>
      </c>
      <c r="D22">
        <v>0</v>
      </c>
      <c r="E22">
        <v>0.36713397986806801</v>
      </c>
    </row>
    <row r="23" spans="1:7" x14ac:dyDescent="0.25">
      <c r="A23">
        <v>1</v>
      </c>
      <c r="B23">
        <v>0.37723061505283029</v>
      </c>
      <c r="C23">
        <v>22</v>
      </c>
      <c r="D23">
        <v>0</v>
      </c>
      <c r="E23">
        <v>0.367294497320938</v>
      </c>
    </row>
    <row r="24" spans="1:7" x14ac:dyDescent="0.25">
      <c r="A24">
        <v>1</v>
      </c>
      <c r="B24">
        <v>0.38194928444824428</v>
      </c>
      <c r="C24">
        <v>23</v>
      </c>
      <c r="D24">
        <v>0</v>
      </c>
      <c r="E24">
        <v>0.37467158909293102</v>
      </c>
    </row>
    <row r="25" spans="1:7" x14ac:dyDescent="0.25">
      <c r="A25">
        <v>1</v>
      </c>
      <c r="B25">
        <v>0.38348647764597038</v>
      </c>
      <c r="D25">
        <v>1</v>
      </c>
      <c r="E25">
        <v>0.27125581312792002</v>
      </c>
      <c r="G25">
        <f>COUNT(E25:E45)</f>
        <v>21</v>
      </c>
    </row>
    <row r="26" spans="1:7" x14ac:dyDescent="0.25">
      <c r="A26">
        <v>1</v>
      </c>
      <c r="B26">
        <v>0.3875986245568952</v>
      </c>
      <c r="D26">
        <v>1</v>
      </c>
      <c r="E26">
        <v>0.27717940434194399</v>
      </c>
    </row>
    <row r="27" spans="1:7" x14ac:dyDescent="0.25">
      <c r="A27">
        <v>1</v>
      </c>
      <c r="B27">
        <v>0.39466362520599652</v>
      </c>
      <c r="D27">
        <v>1</v>
      </c>
      <c r="E27">
        <v>0.29504889381838301</v>
      </c>
    </row>
    <row r="28" spans="1:7" x14ac:dyDescent="0.25">
      <c r="A28">
        <v>1</v>
      </c>
      <c r="B28">
        <v>0.39820787895183885</v>
      </c>
      <c r="D28">
        <v>1</v>
      </c>
      <c r="E28">
        <v>0.29866342647369698</v>
      </c>
    </row>
    <row r="29" spans="1:7" x14ac:dyDescent="0.25">
      <c r="A29">
        <v>1</v>
      </c>
      <c r="B29">
        <v>0.39914400442103715</v>
      </c>
      <c r="D29">
        <v>1</v>
      </c>
      <c r="E29">
        <v>0.30154779293817202</v>
      </c>
    </row>
    <row r="30" spans="1:7" x14ac:dyDescent="0.25">
      <c r="A30">
        <v>1</v>
      </c>
      <c r="B30">
        <v>0.40131370590042492</v>
      </c>
      <c r="D30">
        <v>1</v>
      </c>
      <c r="E30">
        <v>0.30293430085148199</v>
      </c>
    </row>
    <row r="31" spans="1:7" x14ac:dyDescent="0.25">
      <c r="A31">
        <v>1</v>
      </c>
      <c r="B31">
        <v>0.40951388794963695</v>
      </c>
      <c r="D31">
        <v>1</v>
      </c>
      <c r="E31">
        <v>0.31005870317567102</v>
      </c>
    </row>
    <row r="32" spans="1:7" x14ac:dyDescent="0.25">
      <c r="A32">
        <v>1</v>
      </c>
      <c r="B32">
        <v>0.40981839856101454</v>
      </c>
      <c r="D32">
        <v>1</v>
      </c>
      <c r="E32">
        <v>0.31050553553628601</v>
      </c>
    </row>
    <row r="33" spans="1:5" x14ac:dyDescent="0.25">
      <c r="A33">
        <v>1</v>
      </c>
      <c r="B33">
        <v>0.42108096625016889</v>
      </c>
      <c r="D33">
        <v>1</v>
      </c>
      <c r="E33">
        <v>0.32296654180199003</v>
      </c>
    </row>
    <row r="34" spans="1:5" x14ac:dyDescent="0.25">
      <c r="A34">
        <v>1</v>
      </c>
      <c r="B34">
        <v>0.42407414791504827</v>
      </c>
      <c r="D34">
        <v>1</v>
      </c>
      <c r="E34">
        <v>0.32816778056378498</v>
      </c>
    </row>
    <row r="35" spans="1:5" x14ac:dyDescent="0.25">
      <c r="A35">
        <v>1</v>
      </c>
      <c r="B35">
        <v>0.42563260655951762</v>
      </c>
      <c r="D35">
        <v>1</v>
      </c>
      <c r="E35">
        <v>0.33019574746639302</v>
      </c>
    </row>
    <row r="36" spans="1:5" x14ac:dyDescent="0.25">
      <c r="A36">
        <v>1</v>
      </c>
      <c r="B36">
        <v>0.42694904722570792</v>
      </c>
      <c r="D36">
        <v>1</v>
      </c>
      <c r="E36">
        <v>0.33117498463170397</v>
      </c>
    </row>
    <row r="37" spans="1:5" x14ac:dyDescent="0.25">
      <c r="A37">
        <v>1</v>
      </c>
      <c r="B37">
        <v>0.42980286777394444</v>
      </c>
      <c r="D37">
        <v>1</v>
      </c>
      <c r="E37">
        <v>0.33898511272642201</v>
      </c>
    </row>
    <row r="38" spans="1:5" x14ac:dyDescent="0.25">
      <c r="A38">
        <v>1</v>
      </c>
      <c r="B38">
        <v>0.43082962080190101</v>
      </c>
      <c r="D38">
        <v>1</v>
      </c>
      <c r="E38">
        <v>0.35911994030210698</v>
      </c>
    </row>
    <row r="39" spans="1:5" x14ac:dyDescent="0.25">
      <c r="A39">
        <v>1</v>
      </c>
      <c r="B39">
        <v>0.43682178139931782</v>
      </c>
      <c r="D39">
        <v>1</v>
      </c>
      <c r="E39">
        <v>0.36140655930986298</v>
      </c>
    </row>
    <row r="40" spans="1:5" x14ac:dyDescent="0.25">
      <c r="A40">
        <v>1</v>
      </c>
      <c r="B40">
        <v>0.44014224667873858</v>
      </c>
      <c r="D40">
        <v>1</v>
      </c>
      <c r="E40">
        <v>0.36451605069739601</v>
      </c>
    </row>
    <row r="41" spans="1:5" x14ac:dyDescent="0.25">
      <c r="A41">
        <v>1</v>
      </c>
      <c r="B41">
        <v>0.44564209098299412</v>
      </c>
      <c r="D41">
        <v>1</v>
      </c>
      <c r="E41">
        <v>0.36607481946979398</v>
      </c>
    </row>
    <row r="42" spans="1:5" x14ac:dyDescent="0.25">
      <c r="A42">
        <v>1</v>
      </c>
      <c r="B42">
        <v>0.4559486162493735</v>
      </c>
      <c r="D42">
        <v>1</v>
      </c>
      <c r="E42">
        <v>0.36631252856573199</v>
      </c>
    </row>
    <row r="43" spans="1:5" x14ac:dyDescent="0.25">
      <c r="A43">
        <v>1</v>
      </c>
      <c r="B43">
        <v>0.46085451748433948</v>
      </c>
      <c r="D43">
        <v>1</v>
      </c>
      <c r="E43">
        <v>0.36643377260855398</v>
      </c>
    </row>
    <row r="44" spans="1:5" x14ac:dyDescent="0.25">
      <c r="A44">
        <v>1</v>
      </c>
      <c r="B44">
        <v>0.46462425319761658</v>
      </c>
      <c r="D44">
        <v>1</v>
      </c>
      <c r="E44">
        <v>0.36658491010413202</v>
      </c>
    </row>
    <row r="45" spans="1:5" x14ac:dyDescent="0.25">
      <c r="A45">
        <v>1</v>
      </c>
      <c r="B45">
        <v>0.46507307159714861</v>
      </c>
      <c r="D45">
        <v>1</v>
      </c>
      <c r="E45">
        <v>0.368953927907132</v>
      </c>
    </row>
    <row r="46" spans="1:5" x14ac:dyDescent="0.25">
      <c r="A46">
        <v>1</v>
      </c>
      <c r="B46">
        <v>0.46512423578386008</v>
      </c>
      <c r="D46">
        <v>1</v>
      </c>
      <c r="E46">
        <v>0.37886013499276999</v>
      </c>
    </row>
    <row r="47" spans="1:5" x14ac:dyDescent="0.25">
      <c r="A47">
        <v>1</v>
      </c>
      <c r="B47">
        <v>0.46802788005215412</v>
      </c>
      <c r="D47">
        <v>1</v>
      </c>
      <c r="E47">
        <v>0.383572130095299</v>
      </c>
    </row>
    <row r="48" spans="1:5" x14ac:dyDescent="0.25">
      <c r="A48">
        <v>1</v>
      </c>
      <c r="B48">
        <v>0.46999624335956391</v>
      </c>
      <c r="D48">
        <v>1</v>
      </c>
      <c r="E48">
        <v>0.40128670053320697</v>
      </c>
    </row>
    <row r="49" spans="1:5" x14ac:dyDescent="0.25">
      <c r="A49">
        <v>1</v>
      </c>
      <c r="B49">
        <v>0.47276944632000689</v>
      </c>
      <c r="D49">
        <v>1</v>
      </c>
      <c r="E49">
        <v>0.40739831453913</v>
      </c>
    </row>
    <row r="50" spans="1:5" x14ac:dyDescent="0.25">
      <c r="A50">
        <v>1</v>
      </c>
      <c r="B50">
        <v>0.47375806837463208</v>
      </c>
      <c r="D50">
        <v>1</v>
      </c>
      <c r="E50">
        <v>0.416725726793234</v>
      </c>
    </row>
    <row r="51" spans="1:5" x14ac:dyDescent="0.25">
      <c r="A51">
        <v>1</v>
      </c>
      <c r="B51">
        <v>0.48360291518068477</v>
      </c>
      <c r="D51">
        <v>1</v>
      </c>
      <c r="E51">
        <v>0.42088877533700497</v>
      </c>
    </row>
    <row r="52" spans="1:5" x14ac:dyDescent="0.25">
      <c r="A52">
        <v>1</v>
      </c>
      <c r="B52">
        <v>0.49144041374825098</v>
      </c>
      <c r="D52">
        <v>1</v>
      </c>
      <c r="E52">
        <v>0.45040976446463898</v>
      </c>
    </row>
    <row r="53" spans="1:5" x14ac:dyDescent="0.25">
      <c r="A53">
        <v>1</v>
      </c>
      <c r="B53">
        <v>0.4919064434780559</v>
      </c>
      <c r="D53">
        <v>1</v>
      </c>
      <c r="E53">
        <v>0.46131274991004201</v>
      </c>
    </row>
    <row r="54" spans="1:5" x14ac:dyDescent="0.25">
      <c r="A54">
        <v>1</v>
      </c>
      <c r="B54">
        <v>0.50679638376713076</v>
      </c>
      <c r="D54">
        <v>1</v>
      </c>
      <c r="E54">
        <v>0.47651337632810697</v>
      </c>
    </row>
    <row r="55" spans="1:5" x14ac:dyDescent="0.25">
      <c r="A55">
        <v>1</v>
      </c>
      <c r="B55">
        <v>0.53334672140574924</v>
      </c>
      <c r="D55">
        <v>1</v>
      </c>
      <c r="E55">
        <v>0.47773743271082098</v>
      </c>
    </row>
    <row r="56" spans="1:5" x14ac:dyDescent="0.25">
      <c r="A56">
        <v>1</v>
      </c>
      <c r="B56">
        <v>0.54100042080441257</v>
      </c>
      <c r="D56">
        <v>1</v>
      </c>
      <c r="E56">
        <v>0.491574621464266</v>
      </c>
    </row>
    <row r="57" spans="1:5" x14ac:dyDescent="0.25">
      <c r="A57">
        <v>1</v>
      </c>
      <c r="B57">
        <v>0.54385308722678083</v>
      </c>
      <c r="D57">
        <v>1</v>
      </c>
      <c r="E57">
        <v>0.50105091179191896</v>
      </c>
    </row>
    <row r="58" spans="1:5" x14ac:dyDescent="0.25">
      <c r="A58">
        <v>1</v>
      </c>
      <c r="B58">
        <v>0.56084338912957932</v>
      </c>
      <c r="D58">
        <v>1</v>
      </c>
      <c r="E58">
        <v>0.51835065235535105</v>
      </c>
    </row>
    <row r="59" spans="1:5" x14ac:dyDescent="0.25">
      <c r="A59">
        <v>1</v>
      </c>
      <c r="B59">
        <v>0.58128147433898569</v>
      </c>
      <c r="D59">
        <v>1</v>
      </c>
      <c r="E59">
        <v>0.52772792664137003</v>
      </c>
    </row>
    <row r="60" spans="1:5" x14ac:dyDescent="0.25">
      <c r="A60">
        <v>1</v>
      </c>
      <c r="B60">
        <v>0.58348144577705097</v>
      </c>
      <c r="D60">
        <v>1</v>
      </c>
      <c r="E60">
        <v>0.53374100100517397</v>
      </c>
    </row>
    <row r="61" spans="1:5" x14ac:dyDescent="0.25">
      <c r="A61">
        <v>1</v>
      </c>
      <c r="B61">
        <v>0.611486188450588</v>
      </c>
      <c r="D61">
        <v>1</v>
      </c>
      <c r="E61">
        <v>0.58161392250765798</v>
      </c>
    </row>
    <row r="64" spans="1:5" x14ac:dyDescent="0.25">
      <c r="E64">
        <f>SUM(D:D)</f>
        <v>37</v>
      </c>
    </row>
  </sheetData>
  <sortState xmlns:xlrd2="http://schemas.microsoft.com/office/spreadsheetml/2017/richdata2" ref="D2:E61">
    <sortCondition ref="D2:D61"/>
    <sortCondition ref="E2:E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predictwithfallbackConfidences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2026-10-21T00:05:21Z</dcterms:created>
  <dcterms:modified xsi:type="dcterms:W3CDTF">2026-10-29T02:28:14Z</dcterms:modified>
</cp:coreProperties>
</file>