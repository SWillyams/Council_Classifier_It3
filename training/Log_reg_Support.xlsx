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raining/"/>
    </mc:Choice>
  </mc:AlternateContent>
  <xr:revisionPtr revIDLastSave="37" documentId="8_{F34CF738-0180-44F1-A514-A6235DBA1A5C}" xr6:coauthVersionLast="47" xr6:coauthVersionMax="47" xr10:uidLastSave="{396D4337-36EC-4063-AEED-66BB32537EE1}"/>
  <bookViews>
    <workbookView xWindow="-27465" yWindow="3105" windowWidth="21600" windowHeight="11235" activeTab="1" xr2:uid="{6CD5DD35-B37D-4B8B-B847-372D0EF76F76}"/>
  </bookViews>
  <sheets>
    <sheet name="log_reg_adv_t_mdf1_ngM1_nl2_idf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K29" i="1"/>
  <c r="K11" i="1"/>
  <c r="I4" i="1"/>
  <c r="I33" i="1"/>
  <c r="I28" i="1"/>
  <c r="I2" i="1"/>
  <c r="I6" i="1"/>
  <c r="I20" i="1"/>
  <c r="I22" i="1"/>
  <c r="I12" i="1"/>
  <c r="I17" i="1"/>
  <c r="I48" i="1"/>
  <c r="I34" i="1"/>
  <c r="I39" i="1"/>
  <c r="I14" i="1"/>
  <c r="I16" i="1"/>
  <c r="I51" i="1"/>
  <c r="I46" i="1"/>
  <c r="I50" i="1"/>
  <c r="I40" i="1"/>
  <c r="I26" i="1"/>
  <c r="I52" i="1"/>
  <c r="I55" i="1"/>
  <c r="I47" i="1"/>
  <c r="I19" i="1"/>
  <c r="I54" i="1"/>
  <c r="I31" i="1"/>
  <c r="I61" i="1"/>
  <c r="I11" i="1"/>
  <c r="I56" i="1"/>
  <c r="I57" i="1"/>
  <c r="I29" i="1"/>
  <c r="I37" i="1"/>
  <c r="I13" i="1"/>
  <c r="I15" i="1"/>
  <c r="I24" i="1"/>
  <c r="I3" i="1"/>
  <c r="I30" i="1"/>
  <c r="I43" i="1"/>
  <c r="I27" i="1"/>
  <c r="I23" i="1"/>
  <c r="I21" i="1"/>
  <c r="I41" i="1"/>
  <c r="I10" i="1"/>
  <c r="I7" i="1"/>
  <c r="I45" i="1"/>
  <c r="I58" i="1"/>
  <c r="I8" i="1"/>
  <c r="I38" i="1"/>
  <c r="I5" i="1"/>
  <c r="I35" i="1"/>
  <c r="I49" i="1"/>
  <c r="I60" i="1"/>
  <c r="I42" i="1"/>
  <c r="I53" i="1"/>
  <c r="I59" i="1"/>
  <c r="I9" i="1"/>
  <c r="I36" i="1"/>
  <c r="I32" i="1"/>
  <c r="I18" i="1"/>
  <c r="I44" i="1"/>
  <c r="I25" i="1"/>
  <c r="H4" i="1"/>
  <c r="H33" i="1"/>
  <c r="H28" i="1"/>
  <c r="H2" i="1"/>
  <c r="H6" i="1"/>
  <c r="H20" i="1"/>
  <c r="H22" i="1"/>
  <c r="H12" i="1"/>
  <c r="H17" i="1"/>
  <c r="H48" i="1"/>
  <c r="H34" i="1"/>
  <c r="H39" i="1"/>
  <c r="H14" i="1"/>
  <c r="H16" i="1"/>
  <c r="H51" i="1"/>
  <c r="H46" i="1"/>
  <c r="H50" i="1"/>
  <c r="H40" i="1"/>
  <c r="H26" i="1"/>
  <c r="H52" i="1"/>
  <c r="H55" i="1"/>
  <c r="H47" i="1"/>
  <c r="H19" i="1"/>
  <c r="H54" i="1"/>
  <c r="H31" i="1"/>
  <c r="H61" i="1"/>
  <c r="H11" i="1"/>
  <c r="H56" i="1"/>
  <c r="H57" i="1"/>
  <c r="H29" i="1"/>
  <c r="H37" i="1"/>
  <c r="H13" i="1"/>
  <c r="H15" i="1"/>
  <c r="H24" i="1"/>
  <c r="H3" i="1"/>
  <c r="H30" i="1"/>
  <c r="H43" i="1"/>
  <c r="H27" i="1"/>
  <c r="H23" i="1"/>
  <c r="G63" i="1" s="1"/>
  <c r="H21" i="1"/>
  <c r="H41" i="1"/>
  <c r="H10" i="1"/>
  <c r="H7" i="1"/>
  <c r="H45" i="1"/>
  <c r="H58" i="1"/>
  <c r="H8" i="1"/>
  <c r="H38" i="1"/>
  <c r="H5" i="1"/>
  <c r="H35" i="1"/>
  <c r="H49" i="1"/>
  <c r="H60" i="1"/>
  <c r="H42" i="1"/>
  <c r="H53" i="1"/>
  <c r="H59" i="1"/>
  <c r="H9" i="1"/>
  <c r="H36" i="1"/>
  <c r="H32" i="1"/>
  <c r="H18" i="1"/>
  <c r="H44" i="1"/>
  <c r="H25" i="1"/>
</calcChain>
</file>

<file path=xl/sharedStrings.xml><?xml version="1.0" encoding="utf-8"?>
<sst xmlns="http://schemas.openxmlformats.org/spreadsheetml/2006/main" count="431" uniqueCount="75">
  <si>
    <t>request_text</t>
  </si>
  <si>
    <t>category</t>
  </si>
  <si>
    <t>large pothole outside colombo street causing cars to swerve</t>
  </si>
  <si>
    <t>road</t>
  </si>
  <si>
    <t>glass and loose gravel left on cycle lane near hagley park</t>
  </si>
  <si>
    <t>safety</t>
  </si>
  <si>
    <t>traffic light at moorhouse avenue not changing for pedestrians</t>
  </si>
  <si>
    <t>deep crack forming on footpath beside the primary school</t>
  </si>
  <si>
    <t>street sign has fallen over after strong winds</t>
  </si>
  <si>
    <t>water</t>
  </si>
  <si>
    <t>road marking at the roundabout has faded and is hard to see at night</t>
  </si>
  <si>
    <t>stormwater grate is loose and making loud noise when buses pass</t>
  </si>
  <si>
    <t>broken curb stone on corner is blocking pram access</t>
  </si>
  <si>
    <t>several potholes along school dropoff area need urgent repair</t>
  </si>
  <si>
    <t>waste</t>
  </si>
  <si>
    <t>loose metal on road shoulder is creating dust and safety risk</t>
  </si>
  <si>
    <t>missed rubbish collection for our street again this week</t>
  </si>
  <si>
    <t>recycling bins overflowing beside the community hall</t>
  </si>
  <si>
    <t>public litter bin in the park has not been emptied for days</t>
  </si>
  <si>
    <t>illegal dumping of furniture behind the shops on ferry road</t>
  </si>
  <si>
    <t>broken glass around the rubbish area near the playground</t>
  </si>
  <si>
    <t>green waste bags split open and rubbish has scattered on footpath</t>
  </si>
  <si>
    <t>dog waste bin is full and smell is getting worse</t>
  </si>
  <si>
    <t>household rubbish dumped beside reserve entrance overnight</t>
  </si>
  <si>
    <t>recycling crate was not collected even though it was placed out on time</t>
  </si>
  <si>
    <t>overflowing bin near bus stop is attracting birds and mess</t>
  </si>
  <si>
    <t>water leaking from pipe near footpath and flowing onto road</t>
  </si>
  <si>
    <t>burst water main has reduced pressure in nearby homes</t>
  </si>
  <si>
    <t>stormwater drain blocked with leaves causing ponding after rain</t>
  </si>
  <si>
    <t>continuous dripping from council tap in the reserve</t>
  </si>
  <si>
    <t>mud and water pooling across the shared path after every shower</t>
  </si>
  <si>
    <t>sewer smell is strong near the creek walkway</t>
  </si>
  <si>
    <t>blocked culvert causing water to back up along the roadside</t>
  </si>
  <si>
    <t>leak from irrigation line in park has created slippery surface</t>
  </si>
  <si>
    <t>standing water near play area may be a health risk</t>
  </si>
  <si>
    <t>drain cover missing and water channel exposed beside kerb</t>
  </si>
  <si>
    <t>streetlight outside bus stop is not working and area feels unsafe</t>
  </si>
  <si>
    <t>broken swing chain at playground could injure children</t>
  </si>
  <si>
    <t>graffiti on community centre wall has offensive wording</t>
  </si>
  <si>
    <t>damaged fence at reserve allows easy access to construction site</t>
  </si>
  <si>
    <t>loose paving stones at entrance to library are a trip hazard</t>
  </si>
  <si>
    <t>playground gate does not close properly and opens onto road</t>
  </si>
  <si>
    <t>large branch hanging over footpath looks like it may fall</t>
  </si>
  <si>
    <t>bus shelter glass panel cracked and dangerous</t>
  </si>
  <si>
    <t>poor lighting in alleyway behind shops is attracting unsafe behaviour</t>
  </si>
  <si>
    <t>handrail on pedestrian bridge is loose</t>
  </si>
  <si>
    <t>pothole developing near the intersection and drivers are swerving around it</t>
  </si>
  <si>
    <t>faded lane markings are difficult to follow in wet weather</t>
  </si>
  <si>
    <t>footpath surface has lifted and is becoming uneven</t>
  </si>
  <si>
    <t>damaged kerb ramp makes wheelchair access difficult</t>
  </si>
  <si>
    <t>loose grating beside the carriageway rattles under traffic</t>
  </si>
  <si>
    <t>public bin is full and rubbish is spilling onto the ground</t>
  </si>
  <si>
    <t>dumped household items have been left beside the reserve fence</t>
  </si>
  <si>
    <t>recycling was missed on collection day for several homes</t>
  </si>
  <si>
    <t>litter around the park picnic area needs urgent cleanup</t>
  </si>
  <si>
    <t>waste bags have split and contents are spread across the path</t>
  </si>
  <si>
    <t>blocked drain is causing surface flooding after rain</t>
  </si>
  <si>
    <t>water leak near the verge is running across the footpath</t>
  </si>
  <si>
    <t>strong wastewater smell near the channel suggests a pipe issue</t>
  </si>
  <si>
    <t>standing water remains near the playground for days</t>
  </si>
  <si>
    <t>missing drain cover creates risk beside flowing water</t>
  </si>
  <si>
    <t>streetlight failure has left the walkway dark at night</t>
  </si>
  <si>
    <t>broken playground equipment could cause injury</t>
  </si>
  <si>
    <t>cracked glass at the shelter is hazardous to the public</t>
  </si>
  <si>
    <t>loose handrail on stairs needs urgent attention</t>
  </si>
  <si>
    <t>overhanging branch above the footpath looks unsafe</t>
  </si>
  <si>
    <t>Accurate</t>
  </si>
  <si>
    <t>Support</t>
  </si>
  <si>
    <t>Log</t>
  </si>
  <si>
    <t>text</t>
  </si>
  <si>
    <t>pred</t>
  </si>
  <si>
    <t>True</t>
  </si>
  <si>
    <t>acc</t>
  </si>
  <si>
    <t>support</t>
  </si>
  <si>
    <t>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</si>
</sst>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2" fontId="0" fillId="0" borderId="0" xfId="0" quotePrefix="1" applyNumberFormat="1"/>
    <xf numFmtId="2" fontId="0" fillId="0" borderId="0" xfId="0" applyNumberFormat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log_reg_adv_t_mdf1_ngM1_nl2_idf!$H$2:$H$61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xVal>
          <c:yVal>
            <c:numRef>
              <c:f>log_reg_adv_t_mdf1_ngM1_nl2_idf!$I$2:$I$61</c:f>
              <c:numCache>
                <c:formatCode>General</c:formatCode>
                <c:ptCount val="60"/>
                <c:pt idx="0">
                  <c:v>6.4407134678529501E-2</c:v>
                </c:pt>
                <c:pt idx="1">
                  <c:v>6.8231248831039995E-2</c:v>
                </c:pt>
                <c:pt idx="2">
                  <c:v>9.08026810656863E-2</c:v>
                </c:pt>
                <c:pt idx="3">
                  <c:v>9.5859058052088095E-2</c:v>
                </c:pt>
                <c:pt idx="4">
                  <c:v>0.17281451957417401</c:v>
                </c:pt>
                <c:pt idx="5">
                  <c:v>0.19600849789882799</c:v>
                </c:pt>
                <c:pt idx="6">
                  <c:v>0.19630032282731999</c:v>
                </c:pt>
                <c:pt idx="7">
                  <c:v>0.199001470886319</c:v>
                </c:pt>
                <c:pt idx="8">
                  <c:v>0.215764441015381</c:v>
                </c:pt>
                <c:pt idx="9">
                  <c:v>0.21719782312466199</c:v>
                </c:pt>
                <c:pt idx="10">
                  <c:v>0.23101433640115601</c:v>
                </c:pt>
                <c:pt idx="11">
                  <c:v>0.235146130342205</c:v>
                </c:pt>
                <c:pt idx="12">
                  <c:v>0.24423152634370701</c:v>
                </c:pt>
                <c:pt idx="13">
                  <c:v>0.25437190166905399</c:v>
                </c:pt>
                <c:pt idx="14">
                  <c:v>0.25571981820454498</c:v>
                </c:pt>
                <c:pt idx="15">
                  <c:v>0.26414123790034699</c:v>
                </c:pt>
                <c:pt idx="16">
                  <c:v>0.339965731825564</c:v>
                </c:pt>
                <c:pt idx="17">
                  <c:v>0.34253345870566299</c:v>
                </c:pt>
                <c:pt idx="18">
                  <c:v>0.348328592917381</c:v>
                </c:pt>
                <c:pt idx="19">
                  <c:v>0.42529359898136798</c:v>
                </c:pt>
                <c:pt idx="20">
                  <c:v>0.42530407814309301</c:v>
                </c:pt>
                <c:pt idx="21">
                  <c:v>0.44000284000936102</c:v>
                </c:pt>
                <c:pt idx="22">
                  <c:v>0.45951778046686997</c:v>
                </c:pt>
                <c:pt idx="23">
                  <c:v>8.5396024769925194E-2</c:v>
                </c:pt>
                <c:pt idx="24">
                  <c:v>0.10776395774057</c:v>
                </c:pt>
                <c:pt idx="25">
                  <c:v>0.18385278653864801</c:v>
                </c:pt>
                <c:pt idx="26">
                  <c:v>0.19118311361540599</c:v>
                </c:pt>
                <c:pt idx="27">
                  <c:v>0.208446551427831</c:v>
                </c:pt>
                <c:pt idx="28">
                  <c:v>0.214286030904971</c:v>
                </c:pt>
                <c:pt idx="29">
                  <c:v>0.23029873666737699</c:v>
                </c:pt>
                <c:pt idx="30">
                  <c:v>0.240220707583474</c:v>
                </c:pt>
                <c:pt idx="31">
                  <c:v>0.27093686308216602</c:v>
                </c:pt>
                <c:pt idx="32">
                  <c:v>0.29559013863500799</c:v>
                </c:pt>
                <c:pt idx="33">
                  <c:v>0.29727201492984501</c:v>
                </c:pt>
                <c:pt idx="34">
                  <c:v>0.30254816290451803</c:v>
                </c:pt>
                <c:pt idx="35">
                  <c:v>0.33198893811514502</c:v>
                </c:pt>
                <c:pt idx="36">
                  <c:v>0.39733983952372298</c:v>
                </c:pt>
                <c:pt idx="37">
                  <c:v>0.40752812019811502</c:v>
                </c:pt>
                <c:pt idx="38">
                  <c:v>0.41550991066725002</c:v>
                </c:pt>
                <c:pt idx="39">
                  <c:v>0.41559022629104703</c:v>
                </c:pt>
                <c:pt idx="40">
                  <c:v>0.42246211417248802</c:v>
                </c:pt>
                <c:pt idx="41">
                  <c:v>0.42321018469025701</c:v>
                </c:pt>
                <c:pt idx="42">
                  <c:v>0.42827507585855801</c:v>
                </c:pt>
                <c:pt idx="43">
                  <c:v>0.43795987368656902</c:v>
                </c:pt>
                <c:pt idx="44">
                  <c:v>0.45408573899961102</c:v>
                </c:pt>
                <c:pt idx="45">
                  <c:v>0.47333786925280003</c:v>
                </c:pt>
                <c:pt idx="46">
                  <c:v>0.54106343021701997</c:v>
                </c:pt>
                <c:pt idx="47">
                  <c:v>0.55111047137903901</c:v>
                </c:pt>
                <c:pt idx="48">
                  <c:v>0.57601187113041097</c:v>
                </c:pt>
                <c:pt idx="49">
                  <c:v>0.59016178213209203</c:v>
                </c:pt>
                <c:pt idx="50">
                  <c:v>0.68498295662748898</c:v>
                </c:pt>
                <c:pt idx="51">
                  <c:v>0.71072384936974298</c:v>
                </c:pt>
                <c:pt idx="52">
                  <c:v>0.75467003463636095</c:v>
                </c:pt>
                <c:pt idx="53">
                  <c:v>0.758487732748934</c:v>
                </c:pt>
                <c:pt idx="54">
                  <c:v>0.810065132606683</c:v>
                </c:pt>
                <c:pt idx="55">
                  <c:v>0.828924086116542</c:v>
                </c:pt>
                <c:pt idx="56">
                  <c:v>0.886622969629416</c:v>
                </c:pt>
                <c:pt idx="57">
                  <c:v>0.90873986100890303</c:v>
                </c:pt>
                <c:pt idx="58">
                  <c:v>0.93224650463440495</c:v>
                </c:pt>
                <c:pt idx="59">
                  <c:v>1.0732966186575099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E-4613-B573-7A4088C7E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948560"/>
        <c:axId val="762938832"/>
      </c:scatterChart>
      <c:valAx>
        <c:axId val="196994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38832"/>
        <c:crosses val="autoZero"/>
        <c:crossBetween val="midCat"/>
      </c:valAx>
      <c:valAx>
        <c:axId val="7629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94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04117412546382"/>
          <c:y val="2.4453396219337727E-2"/>
          <c:w val="0.83721899623109031"/>
          <c:h val="0.7536936004002006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support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Sheet1!$C$2:$C$62</c:f>
              <c:numCache>
                <c:formatCode>General</c:formatCode>
                <c:ptCount val="61"/>
                <c:pt idx="0">
                  <c:v>0.26616096623401603</c:v>
                </c:pt>
                <c:pt idx="1">
                  <c:v>0.26625665743431698</c:v>
                </c:pt>
                <c:pt idx="2">
                  <c:v>0.273074474289005</c:v>
                </c:pt>
                <c:pt idx="3">
                  <c:v>0.27318368800963799</c:v>
                </c:pt>
                <c:pt idx="4">
                  <c:v>0.29383887036080297</c:v>
                </c:pt>
                <c:pt idx="5">
                  <c:v>0.29952434125183203</c:v>
                </c:pt>
                <c:pt idx="6">
                  <c:v>0.30079248446676199</c:v>
                </c:pt>
                <c:pt idx="7">
                  <c:v>0.30264695083055498</c:v>
                </c:pt>
                <c:pt idx="8">
                  <c:v>0.30578924631509402</c:v>
                </c:pt>
                <c:pt idx="9">
                  <c:v>0.30669161897408198</c:v>
                </c:pt>
                <c:pt idx="10">
                  <c:v>0.30983173188021501</c:v>
                </c:pt>
                <c:pt idx="11">
                  <c:v>0.31028752190533798</c:v>
                </c:pt>
                <c:pt idx="12">
                  <c:v>0.31236200173079998</c:v>
                </c:pt>
                <c:pt idx="13">
                  <c:v>0.31513621467993003</c:v>
                </c:pt>
                <c:pt idx="14">
                  <c:v>0.31670175758617197</c:v>
                </c:pt>
                <c:pt idx="15">
                  <c:v>0.319082644425222</c:v>
                </c:pt>
                <c:pt idx="16">
                  <c:v>0.33666593368013797</c:v>
                </c:pt>
                <c:pt idx="17">
                  <c:v>0.33868056948148301</c:v>
                </c:pt>
                <c:pt idx="18">
                  <c:v>0.33967737531686898</c:v>
                </c:pt>
                <c:pt idx="19">
                  <c:v>0.360725993735245</c:v>
                </c:pt>
                <c:pt idx="20">
                  <c:v>0.36713397986806801</c:v>
                </c:pt>
                <c:pt idx="21">
                  <c:v>0.367294497320938</c:v>
                </c:pt>
                <c:pt idx="22">
                  <c:v>0.37467158909293102</c:v>
                </c:pt>
                <c:pt idx="23">
                  <c:v>0.27125581312792002</c:v>
                </c:pt>
                <c:pt idx="24">
                  <c:v>0.27717940434194399</c:v>
                </c:pt>
                <c:pt idx="25">
                  <c:v>0.29504889381838301</c:v>
                </c:pt>
                <c:pt idx="26">
                  <c:v>0.29866342647369698</c:v>
                </c:pt>
                <c:pt idx="27">
                  <c:v>0.30154779293817202</c:v>
                </c:pt>
                <c:pt idx="28">
                  <c:v>0.30293430085148199</c:v>
                </c:pt>
                <c:pt idx="29">
                  <c:v>0.31005870317567102</c:v>
                </c:pt>
                <c:pt idx="30">
                  <c:v>0.31050553553628601</c:v>
                </c:pt>
                <c:pt idx="31">
                  <c:v>0.32296654180199003</c:v>
                </c:pt>
                <c:pt idx="32">
                  <c:v>0.32816778056378498</c:v>
                </c:pt>
                <c:pt idx="33">
                  <c:v>0.33019574746639302</c:v>
                </c:pt>
                <c:pt idx="34">
                  <c:v>0.33117498463170397</c:v>
                </c:pt>
                <c:pt idx="35">
                  <c:v>0.33898511272642201</c:v>
                </c:pt>
                <c:pt idx="36">
                  <c:v>0.35911994030210698</c:v>
                </c:pt>
                <c:pt idx="37">
                  <c:v>0.36140655930986298</c:v>
                </c:pt>
                <c:pt idx="38">
                  <c:v>0.36451605069739601</c:v>
                </c:pt>
                <c:pt idx="39">
                  <c:v>0.36607481946979398</c:v>
                </c:pt>
                <c:pt idx="40">
                  <c:v>0.36631252856573199</c:v>
                </c:pt>
                <c:pt idx="41">
                  <c:v>0.36643377260855398</c:v>
                </c:pt>
                <c:pt idx="42">
                  <c:v>0.36658491010413202</c:v>
                </c:pt>
                <c:pt idx="43">
                  <c:v>0.368953927907132</c:v>
                </c:pt>
                <c:pt idx="44">
                  <c:v>0.37886013499276999</c:v>
                </c:pt>
                <c:pt idx="45">
                  <c:v>0.383572130095299</c:v>
                </c:pt>
                <c:pt idx="46">
                  <c:v>0.40128670053320697</c:v>
                </c:pt>
                <c:pt idx="47">
                  <c:v>0.40739831453913</c:v>
                </c:pt>
                <c:pt idx="48">
                  <c:v>0.416725726793234</c:v>
                </c:pt>
                <c:pt idx="49">
                  <c:v>0.42088877533700497</c:v>
                </c:pt>
                <c:pt idx="50">
                  <c:v>0.45040976446463898</c:v>
                </c:pt>
                <c:pt idx="51">
                  <c:v>0.46131274991004201</c:v>
                </c:pt>
                <c:pt idx="52">
                  <c:v>0.47651337632810697</c:v>
                </c:pt>
                <c:pt idx="53">
                  <c:v>0.47773743271082098</c:v>
                </c:pt>
                <c:pt idx="54">
                  <c:v>0.491574621464266</c:v>
                </c:pt>
                <c:pt idx="55">
                  <c:v>0.50105091179191896</c:v>
                </c:pt>
                <c:pt idx="56">
                  <c:v>0.51835065235535105</c:v>
                </c:pt>
                <c:pt idx="57">
                  <c:v>0.52772792664137003</c:v>
                </c:pt>
                <c:pt idx="58">
                  <c:v>0.53374100100517397</c:v>
                </c:pt>
                <c:pt idx="59">
                  <c:v>0.58161392250765798</c:v>
                </c:pt>
              </c:numCache>
            </c:numRef>
          </c:xVal>
          <c:yVal>
            <c:numRef>
              <c:f>Sheet1!$G$2:$G$62</c:f>
              <c:numCache>
                <c:formatCode>General</c:formatCode>
                <c:ptCount val="61"/>
                <c:pt idx="0">
                  <c:v>6.4407134678529501E-2</c:v>
                </c:pt>
                <c:pt idx="1">
                  <c:v>6.8231248831039995E-2</c:v>
                </c:pt>
                <c:pt idx="2">
                  <c:v>9.5859058052088095E-2</c:v>
                </c:pt>
                <c:pt idx="3">
                  <c:v>9.08026810656863E-2</c:v>
                </c:pt>
                <c:pt idx="4">
                  <c:v>0.17281451957417401</c:v>
                </c:pt>
                <c:pt idx="5">
                  <c:v>0.19600849789882799</c:v>
                </c:pt>
                <c:pt idx="6">
                  <c:v>0.19630032282731999</c:v>
                </c:pt>
                <c:pt idx="7">
                  <c:v>0.199001470886319</c:v>
                </c:pt>
                <c:pt idx="8">
                  <c:v>0.215764441015381</c:v>
                </c:pt>
                <c:pt idx="9">
                  <c:v>0.21719782312466199</c:v>
                </c:pt>
                <c:pt idx="10">
                  <c:v>0.23101433640115601</c:v>
                </c:pt>
                <c:pt idx="11">
                  <c:v>0.24423152634370701</c:v>
                </c:pt>
                <c:pt idx="12">
                  <c:v>0.235146130342205</c:v>
                </c:pt>
                <c:pt idx="13">
                  <c:v>0.25437190166905399</c:v>
                </c:pt>
                <c:pt idx="14">
                  <c:v>0.26414123790034699</c:v>
                </c:pt>
                <c:pt idx="15">
                  <c:v>0.25571981820454498</c:v>
                </c:pt>
                <c:pt idx="16">
                  <c:v>0.339965731825564</c:v>
                </c:pt>
                <c:pt idx="17">
                  <c:v>0.348328592917381</c:v>
                </c:pt>
                <c:pt idx="18">
                  <c:v>0.34253345870566299</c:v>
                </c:pt>
                <c:pt idx="19">
                  <c:v>0.44000284000936102</c:v>
                </c:pt>
                <c:pt idx="20">
                  <c:v>0.42529359898136798</c:v>
                </c:pt>
                <c:pt idx="21">
                  <c:v>0.42530407814309301</c:v>
                </c:pt>
                <c:pt idx="22">
                  <c:v>0.45951778046686997</c:v>
                </c:pt>
                <c:pt idx="23">
                  <c:v>8.5396024769925194E-2</c:v>
                </c:pt>
                <c:pt idx="24">
                  <c:v>0.10776395774057</c:v>
                </c:pt>
                <c:pt idx="25">
                  <c:v>0.18385278653864801</c:v>
                </c:pt>
                <c:pt idx="26">
                  <c:v>0.19118311361540599</c:v>
                </c:pt>
                <c:pt idx="27">
                  <c:v>0.208446551427831</c:v>
                </c:pt>
                <c:pt idx="28">
                  <c:v>0.214286030904971</c:v>
                </c:pt>
                <c:pt idx="29">
                  <c:v>0.240220707583474</c:v>
                </c:pt>
                <c:pt idx="30">
                  <c:v>0.23029873666737699</c:v>
                </c:pt>
                <c:pt idx="31">
                  <c:v>0.27093686308216602</c:v>
                </c:pt>
                <c:pt idx="32">
                  <c:v>0.29559013863500799</c:v>
                </c:pt>
                <c:pt idx="33">
                  <c:v>0.30254816290451803</c:v>
                </c:pt>
                <c:pt idx="34">
                  <c:v>0.29727201492984501</c:v>
                </c:pt>
                <c:pt idx="35">
                  <c:v>0.33198893811514502</c:v>
                </c:pt>
                <c:pt idx="36">
                  <c:v>0.43795987368656902</c:v>
                </c:pt>
                <c:pt idx="37">
                  <c:v>0.39733983952372298</c:v>
                </c:pt>
                <c:pt idx="38">
                  <c:v>0.40752812019811502</c:v>
                </c:pt>
                <c:pt idx="39">
                  <c:v>0.41550991066725002</c:v>
                </c:pt>
                <c:pt idx="40">
                  <c:v>0.42246211417248802</c:v>
                </c:pt>
                <c:pt idx="41">
                  <c:v>0.41559022629104703</c:v>
                </c:pt>
                <c:pt idx="42">
                  <c:v>0.42321018469025701</c:v>
                </c:pt>
                <c:pt idx="43">
                  <c:v>0.42827507585855801</c:v>
                </c:pt>
                <c:pt idx="44">
                  <c:v>0.45408573899961102</c:v>
                </c:pt>
                <c:pt idx="45">
                  <c:v>0.47333786925280003</c:v>
                </c:pt>
                <c:pt idx="46">
                  <c:v>0.54106343021701997</c:v>
                </c:pt>
                <c:pt idx="47">
                  <c:v>0.55111047137903901</c:v>
                </c:pt>
                <c:pt idx="48">
                  <c:v>0.57601187113041097</c:v>
                </c:pt>
                <c:pt idx="49">
                  <c:v>0.59016178213209203</c:v>
                </c:pt>
                <c:pt idx="50">
                  <c:v>0.68498295662748898</c:v>
                </c:pt>
                <c:pt idx="51">
                  <c:v>0.71072384936974298</c:v>
                </c:pt>
                <c:pt idx="52">
                  <c:v>0.75467003463636095</c:v>
                </c:pt>
                <c:pt idx="53">
                  <c:v>0.758487732748934</c:v>
                </c:pt>
                <c:pt idx="54">
                  <c:v>0.810065132606683</c:v>
                </c:pt>
                <c:pt idx="55">
                  <c:v>0.828924086116542</c:v>
                </c:pt>
                <c:pt idx="56">
                  <c:v>0.886622969629416</c:v>
                </c:pt>
                <c:pt idx="57">
                  <c:v>0.90873986100890303</c:v>
                </c:pt>
                <c:pt idx="58">
                  <c:v>0.93224650463440495</c:v>
                </c:pt>
                <c:pt idx="59">
                  <c:v>1.0732966186575099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C-4525-ADE6-2CBC8EB20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600816"/>
        <c:axId val="762794352"/>
      </c:scatterChart>
      <c:valAx>
        <c:axId val="7706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Confidence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94352"/>
        <c:crosses val="autoZero"/>
        <c:crossBetween val="midCat"/>
      </c:valAx>
      <c:valAx>
        <c:axId val="7627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0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4</xdr:row>
      <xdr:rowOff>90487</xdr:rowOff>
    </xdr:from>
    <xdr:to>
      <xdr:col>20</xdr:col>
      <xdr:colOff>523875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2548C-605D-D19D-7EB5-D11C26E47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332367</xdr:colOff>
      <xdr:row>14</xdr:row>
      <xdr:rowOff>59054</xdr:rowOff>
    </xdr:from>
    <xdr:to>
      <xdr:col>2</xdr:col>
      <xdr:colOff>52332</xdr:colOff>
      <xdr:row>30</xdr:row>
      <xdr:rowOff>42917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6971BF-8711-27A7-9FA9-D230DB294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42C8-AF35-4FF1-999F-7F9EF77F7C56}">
  <dimension ref="A1:L63"/>
  <sheetViews>
    <sheetView topLeftCell="D19" workbookViewId="0">
      <selection activeCell="H2" sqref="H2:I61"/>
    </sheetView>
  </sheetViews>
  <sheetFormatPr defaultRowHeight="14.4" x14ac:dyDescent="0.3"/>
  <cols>
    <col min="1" max="1" width="68.33203125" bestFit="1" customWidth="1"/>
    <col min="4" max="6" width="20.88671875" bestFit="1" customWidth="1"/>
    <col min="7" max="7" width="19.88671875" bestFit="1" customWidth="1"/>
  </cols>
  <sheetData>
    <row r="1" spans="1:11" x14ac:dyDescent="0.3">
      <c r="A1" t="s">
        <v>0</v>
      </c>
      <c r="B1" t="s">
        <v>1</v>
      </c>
      <c r="C1" t="s">
        <v>68</v>
      </c>
      <c r="D1">
        <v>1</v>
      </c>
      <c r="E1">
        <v>2</v>
      </c>
      <c r="F1">
        <v>3</v>
      </c>
      <c r="G1">
        <v>4</v>
      </c>
      <c r="H1" t="s">
        <v>66</v>
      </c>
      <c r="I1" t="s">
        <v>67</v>
      </c>
    </row>
    <row r="2" spans="1:11" x14ac:dyDescent="0.3">
      <c r="A2" t="s">
        <v>8</v>
      </c>
      <c r="B2" t="s">
        <v>3</v>
      </c>
      <c r="C2" t="s">
        <v>9</v>
      </c>
      <c r="D2" s="3">
        <v>3.00263286075204E-2</v>
      </c>
      <c r="E2" s="3">
        <v>-9.6357786545080995E-2</v>
      </c>
      <c r="F2" s="3">
        <v>1.9243232590321401E-3</v>
      </c>
      <c r="G2" s="3">
        <v>6.4407134678529501E-2</v>
      </c>
      <c r="H2">
        <f t="shared" ref="H2:H33" si="0">IF(B2=C2,1,0)</f>
        <v>0</v>
      </c>
      <c r="I2">
        <f t="shared" ref="I2:I33" si="1">MAX(D2:G2)</f>
        <v>6.4407134678529501E-2</v>
      </c>
      <c r="J2" s="3"/>
    </row>
    <row r="3" spans="1:11" x14ac:dyDescent="0.3">
      <c r="A3" t="s">
        <v>41</v>
      </c>
      <c r="B3" t="s">
        <v>5</v>
      </c>
      <c r="C3" t="s">
        <v>3</v>
      </c>
      <c r="D3" s="3">
        <v>6.8231248831039995E-2</v>
      </c>
      <c r="E3" s="1">
        <v>5.9415710745387401E-2</v>
      </c>
      <c r="F3" s="3">
        <v>5.29626822370984E-2</v>
      </c>
      <c r="G3" s="3">
        <v>-0.18060964181352099</v>
      </c>
      <c r="H3">
        <f t="shared" si="0"/>
        <v>0</v>
      </c>
      <c r="I3">
        <f t="shared" si="1"/>
        <v>6.8231248831039995E-2</v>
      </c>
      <c r="J3" s="3"/>
    </row>
    <row r="4" spans="1:11" x14ac:dyDescent="0.3">
      <c r="A4" t="s">
        <v>4</v>
      </c>
      <c r="B4" t="s">
        <v>3</v>
      </c>
      <c r="C4" t="s">
        <v>5</v>
      </c>
      <c r="D4" s="3">
        <v>-5.4884847444590802E-2</v>
      </c>
      <c r="E4" s="3">
        <v>9.08026810656863E-2</v>
      </c>
      <c r="F4" s="1">
        <v>3.1835830432437297E-2</v>
      </c>
      <c r="G4" s="3">
        <v>-6.7753664053534099E-2</v>
      </c>
      <c r="H4">
        <f t="shared" si="0"/>
        <v>0</v>
      </c>
      <c r="I4">
        <f t="shared" si="1"/>
        <v>9.08026810656863E-2</v>
      </c>
      <c r="J4" s="3"/>
    </row>
    <row r="5" spans="1:11" x14ac:dyDescent="0.3">
      <c r="A5" t="s">
        <v>54</v>
      </c>
      <c r="B5" t="s">
        <v>14</v>
      </c>
      <c r="C5" t="s">
        <v>5</v>
      </c>
      <c r="D5" s="3">
        <v>9.1501595610242195E-2</v>
      </c>
      <c r="E5" s="3">
        <v>9.5859058052088095E-2</v>
      </c>
      <c r="F5" s="1">
        <v>2.5028458471200499E-2</v>
      </c>
      <c r="G5" s="3">
        <v>-0.21238911213352901</v>
      </c>
      <c r="H5">
        <f t="shared" si="0"/>
        <v>0</v>
      </c>
      <c r="I5">
        <f t="shared" si="1"/>
        <v>9.5859058052088095E-2</v>
      </c>
      <c r="J5" s="3"/>
    </row>
    <row r="6" spans="1:11" x14ac:dyDescent="0.3">
      <c r="A6" t="s">
        <v>10</v>
      </c>
      <c r="B6" t="s">
        <v>3</v>
      </c>
      <c r="C6" t="s">
        <v>5</v>
      </c>
      <c r="D6" s="3">
        <v>9.8140630824540998E-2</v>
      </c>
      <c r="E6" s="1">
        <v>0.17281451957417401</v>
      </c>
      <c r="F6" s="3">
        <v>-4.6822979970395001E-2</v>
      </c>
      <c r="G6" s="3">
        <v>-0.22413217042832001</v>
      </c>
      <c r="H6">
        <f t="shared" si="0"/>
        <v>0</v>
      </c>
      <c r="I6">
        <f t="shared" si="1"/>
        <v>0.17281451957417401</v>
      </c>
      <c r="J6" s="3"/>
    </row>
    <row r="7" spans="1:11" x14ac:dyDescent="0.3">
      <c r="A7" t="s">
        <v>49</v>
      </c>
      <c r="B7" t="s">
        <v>3</v>
      </c>
      <c r="C7" t="s">
        <v>5</v>
      </c>
      <c r="D7" s="1">
        <v>0.15283136256350499</v>
      </c>
      <c r="E7" s="1">
        <v>0.19600849789882799</v>
      </c>
      <c r="F7" s="3">
        <v>-0.170979931828943</v>
      </c>
      <c r="G7" s="3">
        <v>-0.17785992863338501</v>
      </c>
      <c r="H7">
        <f t="shared" si="0"/>
        <v>0</v>
      </c>
      <c r="I7">
        <f t="shared" si="1"/>
        <v>0.19600849789882799</v>
      </c>
      <c r="J7" s="3"/>
    </row>
    <row r="8" spans="1:11" x14ac:dyDescent="0.3">
      <c r="A8" t="s">
        <v>52</v>
      </c>
      <c r="B8" t="s">
        <v>14</v>
      </c>
      <c r="C8" t="s">
        <v>5</v>
      </c>
      <c r="D8" s="3">
        <v>-6.0426207385068702E-2</v>
      </c>
      <c r="E8" s="1">
        <v>0.19630032282731999</v>
      </c>
      <c r="F8" s="3">
        <v>7.3518532309830201E-2</v>
      </c>
      <c r="G8" s="3">
        <v>-0.209392647752072</v>
      </c>
      <c r="H8">
        <f t="shared" si="0"/>
        <v>0</v>
      </c>
      <c r="I8">
        <f t="shared" si="1"/>
        <v>0.19630032282731999</v>
      </c>
      <c r="J8" s="3"/>
    </row>
    <row r="9" spans="1:11" x14ac:dyDescent="0.3">
      <c r="A9" t="s">
        <v>61</v>
      </c>
      <c r="B9" t="s">
        <v>5</v>
      </c>
      <c r="C9" t="s">
        <v>3</v>
      </c>
      <c r="D9" s="1">
        <v>0.199001470886319</v>
      </c>
      <c r="E9" s="3">
        <v>-2.49919346737273E-2</v>
      </c>
      <c r="F9" s="3">
        <v>-3.1157382647005401E-2</v>
      </c>
      <c r="G9" s="3">
        <v>-0.142852153565586</v>
      </c>
      <c r="H9">
        <f t="shared" si="0"/>
        <v>0</v>
      </c>
      <c r="I9">
        <f t="shared" si="1"/>
        <v>0.199001470886319</v>
      </c>
      <c r="J9" s="3"/>
    </row>
    <row r="10" spans="1:11" x14ac:dyDescent="0.3">
      <c r="A10" t="s">
        <v>48</v>
      </c>
      <c r="B10" t="s">
        <v>3</v>
      </c>
      <c r="C10" t="s">
        <v>9</v>
      </c>
      <c r="D10" s="3">
        <v>-0.122111569810329</v>
      </c>
      <c r="E10" s="1">
        <v>0.109487761827611</v>
      </c>
      <c r="F10" s="3">
        <v>-0.203140633032666</v>
      </c>
      <c r="G10" s="1">
        <v>0.215764441015381</v>
      </c>
      <c r="H10">
        <f t="shared" si="0"/>
        <v>0</v>
      </c>
      <c r="I10">
        <f t="shared" si="1"/>
        <v>0.215764441015381</v>
      </c>
      <c r="J10" s="3"/>
    </row>
    <row r="11" spans="1:11" x14ac:dyDescent="0.3">
      <c r="A11" t="s">
        <v>33</v>
      </c>
      <c r="B11" t="s">
        <v>9</v>
      </c>
      <c r="C11" t="s">
        <v>3</v>
      </c>
      <c r="D11" s="1">
        <v>0.21719782312466199</v>
      </c>
      <c r="E11" s="3">
        <v>-0.16603529244361101</v>
      </c>
      <c r="F11" s="3">
        <v>8.7606979817677094E-2</v>
      </c>
      <c r="G11" s="3">
        <v>-0.138769510498718</v>
      </c>
      <c r="H11">
        <f t="shared" si="0"/>
        <v>0</v>
      </c>
      <c r="I11">
        <f t="shared" si="1"/>
        <v>0.21719782312466199</v>
      </c>
      <c r="J11" s="3"/>
      <c r="K11">
        <f>MEDIAN(I2:I24)</f>
        <v>0.235146130342205</v>
      </c>
    </row>
    <row r="12" spans="1:11" x14ac:dyDescent="0.3">
      <c r="A12" t="s">
        <v>13</v>
      </c>
      <c r="B12" t="s">
        <v>3</v>
      </c>
      <c r="C12" t="s">
        <v>14</v>
      </c>
      <c r="D12" s="3">
        <v>-6.5027201232168305E-2</v>
      </c>
      <c r="E12" s="3">
        <v>9.3348416266000794E-2</v>
      </c>
      <c r="F12" s="1">
        <v>0.23101433640115601</v>
      </c>
      <c r="G12" s="3">
        <v>-0.25933555143498599</v>
      </c>
      <c r="H12">
        <f t="shared" si="0"/>
        <v>0</v>
      </c>
      <c r="I12">
        <f t="shared" si="1"/>
        <v>0.23101433640115601</v>
      </c>
      <c r="J12" s="3"/>
    </row>
    <row r="13" spans="1:11" x14ac:dyDescent="0.3">
      <c r="A13" t="s">
        <v>38</v>
      </c>
      <c r="B13" t="s">
        <v>5</v>
      </c>
      <c r="C13" t="s">
        <v>14</v>
      </c>
      <c r="D13" s="1">
        <v>2.55447984873537E-2</v>
      </c>
      <c r="E13" s="3">
        <v>-6.6884255804871506E-2</v>
      </c>
      <c r="F13" s="1">
        <v>0.235146130342205</v>
      </c>
      <c r="G13" s="3">
        <v>-0.19380667302468299</v>
      </c>
      <c r="H13">
        <f t="shared" si="0"/>
        <v>0</v>
      </c>
      <c r="I13">
        <f t="shared" si="1"/>
        <v>0.235146130342205</v>
      </c>
      <c r="J13" s="3"/>
    </row>
    <row r="14" spans="1:11" x14ac:dyDescent="0.3">
      <c r="A14" t="s">
        <v>19</v>
      </c>
      <c r="B14" t="s">
        <v>14</v>
      </c>
      <c r="C14" t="s">
        <v>3</v>
      </c>
      <c r="D14" s="1">
        <v>0.24423152634370701</v>
      </c>
      <c r="E14" s="1">
        <v>0.228624580948113</v>
      </c>
      <c r="F14" s="3">
        <v>-0.28652607420263199</v>
      </c>
      <c r="G14" s="3">
        <v>-0.186330033089186</v>
      </c>
      <c r="H14">
        <f t="shared" si="0"/>
        <v>0</v>
      </c>
      <c r="I14">
        <f t="shared" si="1"/>
        <v>0.24423152634370701</v>
      </c>
      <c r="J14" s="3"/>
    </row>
    <row r="15" spans="1:11" x14ac:dyDescent="0.3">
      <c r="A15" t="s">
        <v>39</v>
      </c>
      <c r="B15" t="s">
        <v>5</v>
      </c>
      <c r="C15" t="s">
        <v>3</v>
      </c>
      <c r="D15" s="1">
        <v>0.25437190166905399</v>
      </c>
      <c r="E15" s="3">
        <v>-0.24246591486300001</v>
      </c>
      <c r="F15" s="1">
        <v>0.16723417259123999</v>
      </c>
      <c r="G15" s="3">
        <v>-0.17914015939729599</v>
      </c>
      <c r="H15">
        <f t="shared" si="0"/>
        <v>0</v>
      </c>
      <c r="I15">
        <f t="shared" si="1"/>
        <v>0.25437190166905399</v>
      </c>
      <c r="J15" s="3"/>
    </row>
    <row r="16" spans="1:11" x14ac:dyDescent="0.3">
      <c r="A16" t="s">
        <v>20</v>
      </c>
      <c r="B16" t="s">
        <v>14</v>
      </c>
      <c r="C16" t="s">
        <v>5</v>
      </c>
      <c r="D16" s="3">
        <v>-0.121664864446032</v>
      </c>
      <c r="E16" s="1">
        <v>0.25571981820454498</v>
      </c>
      <c r="F16" s="3">
        <v>-7.2065871741574597E-2</v>
      </c>
      <c r="G16" s="3">
        <v>-6.1989082016935398E-2</v>
      </c>
      <c r="H16">
        <f t="shared" si="0"/>
        <v>0</v>
      </c>
      <c r="I16">
        <f t="shared" si="1"/>
        <v>0.25571981820454498</v>
      </c>
      <c r="J16" s="3"/>
    </row>
    <row r="17" spans="1:11" x14ac:dyDescent="0.3">
      <c r="A17" t="s">
        <v>15</v>
      </c>
      <c r="B17" t="s">
        <v>3</v>
      </c>
      <c r="C17" t="s">
        <v>5</v>
      </c>
      <c r="D17" s="1">
        <v>0.20275489464044699</v>
      </c>
      <c r="E17" s="1">
        <v>0.26414123790034699</v>
      </c>
      <c r="F17" s="3">
        <v>-0.27589938245616902</v>
      </c>
      <c r="G17" s="3">
        <v>-0.19099675008462799</v>
      </c>
      <c r="H17">
        <f t="shared" si="0"/>
        <v>0</v>
      </c>
      <c r="I17">
        <f t="shared" si="1"/>
        <v>0.26414123790034699</v>
      </c>
      <c r="J17" s="3"/>
    </row>
    <row r="18" spans="1:11" x14ac:dyDescent="0.3">
      <c r="A18" t="s">
        <v>64</v>
      </c>
      <c r="B18" t="s">
        <v>5</v>
      </c>
      <c r="C18" t="s">
        <v>3</v>
      </c>
      <c r="D18" s="1">
        <v>0.339965731825564</v>
      </c>
      <c r="E18" s="1">
        <v>0.182871781241812</v>
      </c>
      <c r="F18" s="3">
        <v>-7.2708165175557796E-2</v>
      </c>
      <c r="G18" s="3">
        <v>-0.45012934789181602</v>
      </c>
      <c r="H18">
        <f t="shared" si="0"/>
        <v>0</v>
      </c>
      <c r="I18">
        <f t="shared" si="1"/>
        <v>0.339965731825564</v>
      </c>
      <c r="J18" s="3"/>
    </row>
    <row r="19" spans="1:11" x14ac:dyDescent="0.3">
      <c r="A19" t="s">
        <v>29</v>
      </c>
      <c r="B19" t="s">
        <v>9</v>
      </c>
      <c r="C19" t="s">
        <v>14</v>
      </c>
      <c r="D19" s="3">
        <v>-0.111988643180768</v>
      </c>
      <c r="E19" s="1">
        <v>0.147323811794045</v>
      </c>
      <c r="F19" s="1">
        <v>0.34253345870566299</v>
      </c>
      <c r="G19" s="3">
        <v>-0.377868627318932</v>
      </c>
      <c r="H19">
        <f t="shared" si="0"/>
        <v>0</v>
      </c>
      <c r="I19">
        <f t="shared" si="1"/>
        <v>0.34253345870566299</v>
      </c>
      <c r="J19" s="3"/>
    </row>
    <row r="20" spans="1:11" x14ac:dyDescent="0.3">
      <c r="A20" t="s">
        <v>11</v>
      </c>
      <c r="B20" t="s">
        <v>3</v>
      </c>
      <c r="C20" t="s">
        <v>5</v>
      </c>
      <c r="D20" s="2">
        <v>0.24699893965506001</v>
      </c>
      <c r="E20" s="1">
        <v>0.348328592917381</v>
      </c>
      <c r="F20" s="3">
        <v>-0.33460370467121803</v>
      </c>
      <c r="G20" s="3">
        <v>-0.26072382790122201</v>
      </c>
      <c r="H20">
        <f t="shared" si="0"/>
        <v>0</v>
      </c>
      <c r="I20">
        <f t="shared" si="1"/>
        <v>0.348328592917381</v>
      </c>
      <c r="J20" s="3"/>
    </row>
    <row r="21" spans="1:11" x14ac:dyDescent="0.3">
      <c r="A21" t="s">
        <v>46</v>
      </c>
      <c r="B21" t="s">
        <v>3</v>
      </c>
      <c r="C21" t="s">
        <v>9</v>
      </c>
      <c r="D21" s="3">
        <v>-1.30573762724276E-2</v>
      </c>
      <c r="E21" s="3">
        <v>-0.37397882639480601</v>
      </c>
      <c r="F21" s="3">
        <v>-3.8257396314132101E-2</v>
      </c>
      <c r="G21" s="1">
        <v>0.42529359898136798</v>
      </c>
      <c r="H21">
        <f t="shared" si="0"/>
        <v>0</v>
      </c>
      <c r="I21">
        <f t="shared" si="1"/>
        <v>0.42529359898136798</v>
      </c>
      <c r="J21" s="3"/>
    </row>
    <row r="22" spans="1:11" x14ac:dyDescent="0.3">
      <c r="A22" t="s">
        <v>12</v>
      </c>
      <c r="B22" t="s">
        <v>3</v>
      </c>
      <c r="C22" t="s">
        <v>5</v>
      </c>
      <c r="D22" s="3">
        <v>-1.62019019722296E-2</v>
      </c>
      <c r="E22" s="1">
        <v>0.42530407814309301</v>
      </c>
      <c r="F22" s="3">
        <v>-4.1425472868628799E-2</v>
      </c>
      <c r="G22" s="3">
        <v>-0.36767670330223601</v>
      </c>
      <c r="H22">
        <f t="shared" si="0"/>
        <v>0</v>
      </c>
      <c r="I22">
        <f t="shared" si="1"/>
        <v>0.42530407814309301</v>
      </c>
      <c r="J22" s="3"/>
    </row>
    <row r="23" spans="1:11" x14ac:dyDescent="0.3">
      <c r="A23" t="s">
        <v>45</v>
      </c>
      <c r="B23" t="s">
        <v>5</v>
      </c>
      <c r="C23" t="s">
        <v>3</v>
      </c>
      <c r="D23" s="2">
        <v>0.44000284000936102</v>
      </c>
      <c r="E23" s="1">
        <v>0.32799267864076698</v>
      </c>
      <c r="F23" s="3">
        <v>-0.34114437850992402</v>
      </c>
      <c r="G23" s="3">
        <v>-0.42685114014020298</v>
      </c>
      <c r="H23">
        <f t="shared" si="0"/>
        <v>0</v>
      </c>
      <c r="I23">
        <f t="shared" si="1"/>
        <v>0.44000284000936102</v>
      </c>
      <c r="J23" s="3"/>
    </row>
    <row r="24" spans="1:11" x14ac:dyDescent="0.3">
      <c r="A24" t="s">
        <v>40</v>
      </c>
      <c r="B24" t="s">
        <v>5</v>
      </c>
      <c r="C24" t="s">
        <v>3</v>
      </c>
      <c r="D24" s="1">
        <v>0.45951778046686997</v>
      </c>
      <c r="E24" s="1">
        <v>0.13061543179961099</v>
      </c>
      <c r="F24" s="3">
        <v>-0.15775991572204701</v>
      </c>
      <c r="G24" s="3">
        <v>-0.43237329654443601</v>
      </c>
      <c r="H24">
        <f t="shared" si="0"/>
        <v>0</v>
      </c>
      <c r="I24">
        <f t="shared" si="1"/>
        <v>0.45951778046686997</v>
      </c>
      <c r="J24" s="3"/>
    </row>
    <row r="25" spans="1:11" x14ac:dyDescent="0.3">
      <c r="A25" t="s">
        <v>2</v>
      </c>
      <c r="B25" t="s">
        <v>3</v>
      </c>
      <c r="C25" t="s">
        <v>3</v>
      </c>
      <c r="D25" s="3">
        <v>8.5396024769925194E-2</v>
      </c>
      <c r="E25" s="3">
        <v>8.1105958993630003E-2</v>
      </c>
      <c r="F25" s="3">
        <v>-0.121307936213452</v>
      </c>
      <c r="G25" s="3">
        <v>-4.5194047550099502E-2</v>
      </c>
      <c r="H25">
        <f t="shared" si="0"/>
        <v>1</v>
      </c>
      <c r="I25">
        <f t="shared" si="1"/>
        <v>8.5396024769925194E-2</v>
      </c>
    </row>
    <row r="26" spans="1:11" x14ac:dyDescent="0.3">
      <c r="A26" t="s">
        <v>25</v>
      </c>
      <c r="B26" t="s">
        <v>14</v>
      </c>
      <c r="C26" t="s">
        <v>14</v>
      </c>
      <c r="D26" s="3">
        <v>-0.155399011016323</v>
      </c>
      <c r="E26" s="1">
        <v>3.8343363276354903E-2</v>
      </c>
      <c r="F26" s="1">
        <v>0.10776395774057</v>
      </c>
      <c r="G26" s="3">
        <v>9.2916899993981603E-3</v>
      </c>
      <c r="H26">
        <f t="shared" si="0"/>
        <v>1</v>
      </c>
      <c r="I26">
        <f t="shared" si="1"/>
        <v>0.10776395774057</v>
      </c>
    </row>
    <row r="27" spans="1:11" x14ac:dyDescent="0.3">
      <c r="A27" t="s">
        <v>44</v>
      </c>
      <c r="B27" t="s">
        <v>5</v>
      </c>
      <c r="C27" t="s">
        <v>5</v>
      </c>
      <c r="D27" s="3">
        <v>-7.8900780565256595E-2</v>
      </c>
      <c r="E27" s="1">
        <v>0.18385278653864801</v>
      </c>
      <c r="F27" s="1">
        <v>0.17572972678646201</v>
      </c>
      <c r="G27" s="3">
        <v>-0.28068173275984898</v>
      </c>
      <c r="H27">
        <f t="shared" si="0"/>
        <v>1</v>
      </c>
      <c r="I27">
        <f t="shared" si="1"/>
        <v>0.18385278653864801</v>
      </c>
    </row>
    <row r="28" spans="1:11" x14ac:dyDescent="0.3">
      <c r="A28" t="s">
        <v>7</v>
      </c>
      <c r="B28" t="s">
        <v>3</v>
      </c>
      <c r="C28" t="s">
        <v>3</v>
      </c>
      <c r="D28" s="1">
        <v>0.19118311361540599</v>
      </c>
      <c r="E28" s="1">
        <v>0.13239679869844401</v>
      </c>
      <c r="F28" s="3">
        <v>-0.176408510978876</v>
      </c>
      <c r="G28" s="3">
        <v>-0.14717140133497</v>
      </c>
      <c r="H28">
        <f t="shared" si="0"/>
        <v>1</v>
      </c>
      <c r="I28">
        <f t="shared" si="1"/>
        <v>0.19118311361540599</v>
      </c>
    </row>
    <row r="29" spans="1:11" x14ac:dyDescent="0.3">
      <c r="A29" t="s">
        <v>36</v>
      </c>
      <c r="B29" t="s">
        <v>5</v>
      </c>
      <c r="C29" t="s">
        <v>5</v>
      </c>
      <c r="D29" s="3">
        <v>-7.8420562716172704E-3</v>
      </c>
      <c r="E29" s="1">
        <v>0.208446551427831</v>
      </c>
      <c r="F29" s="1">
        <v>0.138254138969129</v>
      </c>
      <c r="G29" s="3">
        <v>-0.33885863412534201</v>
      </c>
      <c r="H29">
        <f t="shared" si="0"/>
        <v>1</v>
      </c>
      <c r="I29">
        <f t="shared" si="1"/>
        <v>0.208446551427831</v>
      </c>
      <c r="K29">
        <f>COUNT(I25:J31)</f>
        <v>7</v>
      </c>
    </row>
    <row r="30" spans="1:11" x14ac:dyDescent="0.3">
      <c r="A30" t="s">
        <v>42</v>
      </c>
      <c r="B30" t="s">
        <v>5</v>
      </c>
      <c r="C30" t="s">
        <v>5</v>
      </c>
      <c r="D30" s="1">
        <v>0.20860040572905</v>
      </c>
      <c r="E30" s="1">
        <v>0.214286030904971</v>
      </c>
      <c r="F30" s="3">
        <v>-0.19739713154364799</v>
      </c>
      <c r="G30" s="3">
        <v>-0.22548930509036699</v>
      </c>
      <c r="H30">
        <f t="shared" si="0"/>
        <v>1</v>
      </c>
      <c r="I30">
        <f t="shared" si="1"/>
        <v>0.214286030904971</v>
      </c>
    </row>
    <row r="31" spans="1:11" x14ac:dyDescent="0.3">
      <c r="A31" t="s">
        <v>31</v>
      </c>
      <c r="B31" t="s">
        <v>9</v>
      </c>
      <c r="C31" t="s">
        <v>9</v>
      </c>
      <c r="D31" s="3">
        <v>4.7380671439758798E-2</v>
      </c>
      <c r="E31" s="3">
        <v>-0.224355298606114</v>
      </c>
      <c r="F31" s="3">
        <v>-5.3324109501018499E-2</v>
      </c>
      <c r="G31" s="1">
        <v>0.23029873666737699</v>
      </c>
      <c r="H31">
        <f t="shared" si="0"/>
        <v>1</v>
      </c>
      <c r="I31">
        <f t="shared" si="1"/>
        <v>0.23029873666737699</v>
      </c>
    </row>
    <row r="32" spans="1:11" x14ac:dyDescent="0.3">
      <c r="A32" t="s">
        <v>63</v>
      </c>
      <c r="B32" t="s">
        <v>5</v>
      </c>
      <c r="C32" t="s">
        <v>5</v>
      </c>
      <c r="D32" s="3">
        <v>-3.3028548874920002E-2</v>
      </c>
      <c r="E32" s="1">
        <v>0.240220707583474</v>
      </c>
      <c r="F32" s="1">
        <v>0.15090561721364101</v>
      </c>
      <c r="G32" s="3">
        <v>-0.358097775922189</v>
      </c>
      <c r="H32">
        <f t="shared" si="0"/>
        <v>1</v>
      </c>
      <c r="I32">
        <f t="shared" si="1"/>
        <v>0.240220707583474</v>
      </c>
    </row>
    <row r="33" spans="1:12" x14ac:dyDescent="0.3">
      <c r="A33" t="s">
        <v>6</v>
      </c>
      <c r="B33" t="s">
        <v>3</v>
      </c>
      <c r="C33" t="s">
        <v>3</v>
      </c>
      <c r="D33" s="3">
        <v>0.27093686308216602</v>
      </c>
      <c r="E33" s="3">
        <v>-1.2586906123887701E-2</v>
      </c>
      <c r="F33" s="3">
        <v>-6.59446525012167E-2</v>
      </c>
      <c r="G33" s="3">
        <v>-0.192405304457062</v>
      </c>
      <c r="H33">
        <f t="shared" si="0"/>
        <v>1</v>
      </c>
      <c r="I33">
        <f t="shared" si="1"/>
        <v>0.27093686308216602</v>
      </c>
    </row>
    <row r="34" spans="1:12" x14ac:dyDescent="0.3">
      <c r="A34" t="s">
        <v>17</v>
      </c>
      <c r="B34" t="s">
        <v>14</v>
      </c>
      <c r="C34" t="s">
        <v>14</v>
      </c>
      <c r="D34" s="3">
        <v>-8.12305355520931E-2</v>
      </c>
      <c r="E34" s="3">
        <v>8.3002573194549997E-2</v>
      </c>
      <c r="F34" s="1">
        <v>0.29559013863500799</v>
      </c>
      <c r="G34" s="3">
        <v>-0.29736217627746803</v>
      </c>
      <c r="H34">
        <f t="shared" ref="H34:H61" si="2">IF(B34=C34,1,0)</f>
        <v>1</v>
      </c>
      <c r="I34">
        <f t="shared" ref="I34:I61" si="3">MAX(D34:G34)</f>
        <v>0.29559013863500799</v>
      </c>
    </row>
    <row r="35" spans="1:12" x14ac:dyDescent="0.3">
      <c r="A35" t="s">
        <v>55</v>
      </c>
      <c r="B35" t="s">
        <v>14</v>
      </c>
      <c r="C35" t="s">
        <v>14</v>
      </c>
      <c r="D35" s="3">
        <v>-7.0154420311691001E-2</v>
      </c>
      <c r="E35" s="3">
        <v>-7.7984803797534294E-2</v>
      </c>
      <c r="F35" s="1">
        <v>0.29727201492984501</v>
      </c>
      <c r="G35" s="3">
        <v>-0.14913279082061601</v>
      </c>
      <c r="H35">
        <f t="shared" si="2"/>
        <v>1</v>
      </c>
      <c r="I35">
        <f t="shared" si="3"/>
        <v>0.29727201492984501</v>
      </c>
    </row>
    <row r="36" spans="1:12" x14ac:dyDescent="0.3">
      <c r="A36" t="s">
        <v>62</v>
      </c>
      <c r="B36" t="s">
        <v>5</v>
      </c>
      <c r="C36" t="s">
        <v>5</v>
      </c>
      <c r="D36" s="3">
        <v>-7.1543713874757595E-2</v>
      </c>
      <c r="E36" s="1">
        <v>0.30254816290451803</v>
      </c>
      <c r="F36" s="3">
        <v>7.4884865889280505E-2</v>
      </c>
      <c r="G36" s="3">
        <v>-0.30588931491903598</v>
      </c>
      <c r="H36">
        <f t="shared" si="2"/>
        <v>1</v>
      </c>
      <c r="I36">
        <f t="shared" si="3"/>
        <v>0.30254816290451803</v>
      </c>
    </row>
    <row r="37" spans="1:12" x14ac:dyDescent="0.3">
      <c r="A37" t="s">
        <v>37</v>
      </c>
      <c r="B37" t="s">
        <v>5</v>
      </c>
      <c r="C37" t="s">
        <v>5</v>
      </c>
      <c r="D37" s="3">
        <v>-8.1489175474324396E-2</v>
      </c>
      <c r="E37" s="1">
        <v>0.33198893811514502</v>
      </c>
      <c r="F37" s="3">
        <v>6.3325633835238399E-2</v>
      </c>
      <c r="G37" s="3">
        <v>-0.31382539647605701</v>
      </c>
      <c r="H37">
        <f t="shared" si="2"/>
        <v>1</v>
      </c>
      <c r="I37">
        <f t="shared" si="3"/>
        <v>0.33198893811514502</v>
      </c>
    </row>
    <row r="38" spans="1:12" x14ac:dyDescent="0.3">
      <c r="A38" t="s">
        <v>53</v>
      </c>
      <c r="B38" t="s">
        <v>14</v>
      </c>
      <c r="C38" t="s">
        <v>14</v>
      </c>
      <c r="D38" s="3">
        <v>-0.114171097684658</v>
      </c>
      <c r="E38" s="3">
        <v>-0.108802672843355</v>
      </c>
      <c r="F38" s="1">
        <v>0.39733983952372298</v>
      </c>
      <c r="G38" s="3">
        <v>-0.174366068995704</v>
      </c>
      <c r="H38">
        <f t="shared" si="2"/>
        <v>1</v>
      </c>
      <c r="I38">
        <f t="shared" si="3"/>
        <v>0.39733983952372298</v>
      </c>
    </row>
    <row r="39" spans="1:12" x14ac:dyDescent="0.3">
      <c r="A39" t="s">
        <v>18</v>
      </c>
      <c r="B39" t="s">
        <v>14</v>
      </c>
      <c r="C39" t="s">
        <v>14</v>
      </c>
      <c r="D39" s="3">
        <v>-0.113042320238934</v>
      </c>
      <c r="E39" s="3">
        <v>-0.110519546603425</v>
      </c>
      <c r="F39" s="1">
        <v>0.40752812019811502</v>
      </c>
      <c r="G39" s="3">
        <v>-0.18396625335575201</v>
      </c>
      <c r="H39">
        <f t="shared" si="2"/>
        <v>1</v>
      </c>
      <c r="I39">
        <f t="shared" si="3"/>
        <v>0.40752812019811502</v>
      </c>
    </row>
    <row r="40" spans="1:12" x14ac:dyDescent="0.3">
      <c r="A40" t="s">
        <v>24</v>
      </c>
      <c r="B40" t="s">
        <v>14</v>
      </c>
      <c r="C40" t="s">
        <v>14</v>
      </c>
      <c r="D40" s="3">
        <v>-6.0059453114521003E-2</v>
      </c>
      <c r="E40" s="3">
        <v>-8.1902985881333795E-2</v>
      </c>
      <c r="F40" s="1">
        <v>0.41550991066725002</v>
      </c>
      <c r="G40" s="3">
        <v>-0.27354747167139398</v>
      </c>
      <c r="H40">
        <f t="shared" si="2"/>
        <v>1</v>
      </c>
      <c r="I40">
        <f t="shared" si="3"/>
        <v>0.41550991066725002</v>
      </c>
    </row>
    <row r="41" spans="1:12" x14ac:dyDescent="0.3">
      <c r="A41" t="s">
        <v>47</v>
      </c>
      <c r="B41" t="s">
        <v>3</v>
      </c>
      <c r="C41" t="s">
        <v>3</v>
      </c>
      <c r="D41" s="1">
        <v>0.41559022629104703</v>
      </c>
      <c r="E41" s="3">
        <v>-5.2759874743419199E-2</v>
      </c>
      <c r="F41" s="3">
        <v>-0.120299786190305</v>
      </c>
      <c r="G41" s="3">
        <v>-0.24253056535732001</v>
      </c>
      <c r="H41">
        <f t="shared" si="2"/>
        <v>1</v>
      </c>
      <c r="I41">
        <f t="shared" si="3"/>
        <v>0.41559022629104703</v>
      </c>
    </row>
    <row r="42" spans="1:12" x14ac:dyDescent="0.3">
      <c r="A42" t="s">
        <v>58</v>
      </c>
      <c r="B42" t="s">
        <v>9</v>
      </c>
      <c r="C42" t="s">
        <v>9</v>
      </c>
      <c r="D42" s="1">
        <v>1.77518916943528E-2</v>
      </c>
      <c r="E42" s="3">
        <v>-0.36368222587532201</v>
      </c>
      <c r="F42" s="3">
        <v>-7.6531779991513393E-2</v>
      </c>
      <c r="G42" s="1">
        <v>0.42246211417248802</v>
      </c>
      <c r="H42">
        <f t="shared" si="2"/>
        <v>1</v>
      </c>
      <c r="I42">
        <f t="shared" si="3"/>
        <v>0.42246211417248802</v>
      </c>
    </row>
    <row r="43" spans="1:12" x14ac:dyDescent="0.3">
      <c r="A43" t="s">
        <v>43</v>
      </c>
      <c r="B43" t="s">
        <v>5</v>
      </c>
      <c r="C43" t="s">
        <v>5</v>
      </c>
      <c r="D43" s="3">
        <v>-4.5002678483376198E-2</v>
      </c>
      <c r="E43" s="1">
        <v>0.42321018469025701</v>
      </c>
      <c r="F43" s="3">
        <v>-9.31130524035775E-3</v>
      </c>
      <c r="G43" s="3">
        <v>-0.36889620096652398</v>
      </c>
      <c r="H43">
        <f t="shared" si="2"/>
        <v>1</v>
      </c>
      <c r="I43">
        <f t="shared" si="3"/>
        <v>0.42321018469025701</v>
      </c>
    </row>
    <row r="44" spans="1:12" x14ac:dyDescent="0.3">
      <c r="A44" t="s">
        <v>65</v>
      </c>
      <c r="B44" t="s">
        <v>5</v>
      </c>
      <c r="C44" t="s">
        <v>5</v>
      </c>
      <c r="D44" s="3">
        <v>4.5611403253613098E-2</v>
      </c>
      <c r="E44" s="1">
        <v>0.42827507585855801</v>
      </c>
      <c r="F44" s="3">
        <v>-0.235755865937854</v>
      </c>
      <c r="G44" s="3">
        <v>-0.238130613174312</v>
      </c>
      <c r="H44">
        <f t="shared" si="2"/>
        <v>1</v>
      </c>
      <c r="I44">
        <f t="shared" si="3"/>
        <v>0.42827507585855801</v>
      </c>
      <c r="L44">
        <f>COUNT(I25:I46)</f>
        <v>22</v>
      </c>
    </row>
    <row r="45" spans="1:12" x14ac:dyDescent="0.3">
      <c r="A45" t="s">
        <v>50</v>
      </c>
      <c r="B45" t="s">
        <v>3</v>
      </c>
      <c r="C45" t="s">
        <v>3</v>
      </c>
      <c r="D45" s="1">
        <v>0.43795987368656902</v>
      </c>
      <c r="E45" s="1">
        <v>0.34452781989988701</v>
      </c>
      <c r="F45" s="3">
        <v>-0.34357503438114501</v>
      </c>
      <c r="G45" s="3">
        <v>-0.43891265920531097</v>
      </c>
      <c r="H45">
        <f t="shared" si="2"/>
        <v>1</v>
      </c>
      <c r="I45">
        <f t="shared" si="3"/>
        <v>0.43795987368656902</v>
      </c>
    </row>
    <row r="46" spans="1:12" x14ac:dyDescent="0.3">
      <c r="A46" t="s">
        <v>22</v>
      </c>
      <c r="B46" t="s">
        <v>14</v>
      </c>
      <c r="C46" t="s">
        <v>14</v>
      </c>
      <c r="D46" s="3">
        <v>-0.184935182901518</v>
      </c>
      <c r="E46" s="3">
        <v>-0.18737054799778399</v>
      </c>
      <c r="F46" s="1">
        <v>0.45408573899961102</v>
      </c>
      <c r="G46" s="3">
        <v>-8.1780008100307999E-2</v>
      </c>
      <c r="H46">
        <f t="shared" si="2"/>
        <v>1</v>
      </c>
      <c r="I46">
        <f t="shared" si="3"/>
        <v>0.45408573899961102</v>
      </c>
    </row>
    <row r="47" spans="1:12" x14ac:dyDescent="0.3">
      <c r="A47" t="s">
        <v>28</v>
      </c>
      <c r="B47" t="s">
        <v>9</v>
      </c>
      <c r="C47" t="s">
        <v>9</v>
      </c>
      <c r="D47" s="3">
        <v>3.3294077220911099E-3</v>
      </c>
      <c r="E47" s="3">
        <v>-0.20879089979911999</v>
      </c>
      <c r="F47" s="3">
        <v>-0.26787637717576901</v>
      </c>
      <c r="G47" s="1">
        <v>0.47333786925280003</v>
      </c>
      <c r="H47">
        <f t="shared" si="2"/>
        <v>1</v>
      </c>
      <c r="I47">
        <f t="shared" si="3"/>
        <v>0.47333786925280003</v>
      </c>
    </row>
    <row r="48" spans="1:12" x14ac:dyDescent="0.3">
      <c r="A48" t="s">
        <v>16</v>
      </c>
      <c r="B48" t="s">
        <v>14</v>
      </c>
      <c r="C48" t="s">
        <v>14</v>
      </c>
      <c r="D48" s="1">
        <v>0.10153531977774601</v>
      </c>
      <c r="E48" s="3">
        <v>-0.23269216412855301</v>
      </c>
      <c r="F48" s="1">
        <v>0.54106343021701997</v>
      </c>
      <c r="G48" s="3">
        <v>-0.40990658586621098</v>
      </c>
      <c r="H48">
        <f t="shared" si="2"/>
        <v>1</v>
      </c>
      <c r="I48">
        <f t="shared" si="3"/>
        <v>0.54106343021701997</v>
      </c>
    </row>
    <row r="49" spans="1:9" x14ac:dyDescent="0.3">
      <c r="A49" t="s">
        <v>56</v>
      </c>
      <c r="B49" t="s">
        <v>9</v>
      </c>
      <c r="C49" t="s">
        <v>9</v>
      </c>
      <c r="D49" s="1">
        <v>1.9331713540147299E-2</v>
      </c>
      <c r="E49" s="3">
        <v>-0.25310157743645201</v>
      </c>
      <c r="F49" s="3">
        <v>-0.31734060748273002</v>
      </c>
      <c r="G49" s="1">
        <v>0.55111047137903901</v>
      </c>
      <c r="H49">
        <f t="shared" si="2"/>
        <v>1</v>
      </c>
      <c r="I49">
        <f t="shared" si="3"/>
        <v>0.55111047137903901</v>
      </c>
    </row>
    <row r="50" spans="1:9" x14ac:dyDescent="0.3">
      <c r="A50" t="s">
        <v>23</v>
      </c>
      <c r="B50" t="s">
        <v>14</v>
      </c>
      <c r="C50" t="s">
        <v>14</v>
      </c>
      <c r="D50" s="3">
        <v>-0.264741066473548</v>
      </c>
      <c r="E50" s="3">
        <v>-4.3624070822469899E-2</v>
      </c>
      <c r="F50" s="1">
        <v>0.57601187113041097</v>
      </c>
      <c r="G50" s="3">
        <v>-0.26764673383439203</v>
      </c>
      <c r="H50">
        <f t="shared" si="2"/>
        <v>1</v>
      </c>
      <c r="I50">
        <f t="shared" si="3"/>
        <v>0.57601187113041097</v>
      </c>
    </row>
    <row r="51" spans="1:9" x14ac:dyDescent="0.3">
      <c r="A51" t="s">
        <v>21</v>
      </c>
      <c r="B51" t="s">
        <v>14</v>
      </c>
      <c r="C51" t="s">
        <v>14</v>
      </c>
      <c r="D51" s="3">
        <v>-8.0384869210839496E-2</v>
      </c>
      <c r="E51" s="3">
        <v>-0.14257365563333901</v>
      </c>
      <c r="F51" s="1">
        <v>0.59016178213209203</v>
      </c>
      <c r="G51" s="3">
        <v>-0.36720325728791198</v>
      </c>
      <c r="H51">
        <f t="shared" si="2"/>
        <v>1</v>
      </c>
      <c r="I51">
        <f t="shared" si="3"/>
        <v>0.59016178213209203</v>
      </c>
    </row>
    <row r="52" spans="1:9" x14ac:dyDescent="0.3">
      <c r="A52" t="s">
        <v>26</v>
      </c>
      <c r="B52" t="s">
        <v>9</v>
      </c>
      <c r="C52" t="s">
        <v>9</v>
      </c>
      <c r="D52" s="3">
        <v>-2.17284513231469E-4</v>
      </c>
      <c r="E52" s="3">
        <v>-0.37199842051222898</v>
      </c>
      <c r="F52" s="3">
        <v>-0.31276725160202701</v>
      </c>
      <c r="G52" s="1">
        <v>0.68498295662748898</v>
      </c>
      <c r="H52">
        <f t="shared" si="2"/>
        <v>1</v>
      </c>
      <c r="I52">
        <f t="shared" si="3"/>
        <v>0.68498295662748898</v>
      </c>
    </row>
    <row r="53" spans="1:9" x14ac:dyDescent="0.3">
      <c r="A53" t="s">
        <v>59</v>
      </c>
      <c r="B53" t="s">
        <v>9</v>
      </c>
      <c r="C53" t="s">
        <v>9</v>
      </c>
      <c r="D53" s="3">
        <v>-0.36447929346963698</v>
      </c>
      <c r="E53" s="3">
        <v>-0.18995023646023501</v>
      </c>
      <c r="F53" s="3">
        <v>-0.15629431943986699</v>
      </c>
      <c r="G53" s="3">
        <v>0.71072384936974298</v>
      </c>
      <c r="H53">
        <f t="shared" si="2"/>
        <v>1</v>
      </c>
      <c r="I53">
        <f t="shared" si="3"/>
        <v>0.71072384936974298</v>
      </c>
    </row>
    <row r="54" spans="1:9" x14ac:dyDescent="0.3">
      <c r="A54" t="s">
        <v>30</v>
      </c>
      <c r="B54" t="s">
        <v>9</v>
      </c>
      <c r="C54" t="s">
        <v>9</v>
      </c>
      <c r="D54" s="3">
        <v>-0.30366985435956401</v>
      </c>
      <c r="E54" s="3">
        <v>-0.27841727067022998</v>
      </c>
      <c r="F54" s="3">
        <v>-0.172582909606562</v>
      </c>
      <c r="G54" s="1">
        <v>0.75467003463636095</v>
      </c>
      <c r="H54">
        <f t="shared" si="2"/>
        <v>1</v>
      </c>
      <c r="I54">
        <f t="shared" si="3"/>
        <v>0.75467003463636095</v>
      </c>
    </row>
    <row r="55" spans="1:9" x14ac:dyDescent="0.3">
      <c r="A55" t="s">
        <v>27</v>
      </c>
      <c r="B55" t="s">
        <v>9</v>
      </c>
      <c r="C55" t="s">
        <v>9</v>
      </c>
      <c r="D55" s="3">
        <v>-0.30689852425141001</v>
      </c>
      <c r="E55" s="3">
        <v>-0.28223178845046198</v>
      </c>
      <c r="F55" s="3">
        <v>-0.169357420047058</v>
      </c>
      <c r="G55" s="1">
        <v>0.758487732748934</v>
      </c>
      <c r="H55">
        <f t="shared" si="2"/>
        <v>1</v>
      </c>
      <c r="I55">
        <f t="shared" si="3"/>
        <v>0.758487732748934</v>
      </c>
    </row>
    <row r="56" spans="1:9" x14ac:dyDescent="0.3">
      <c r="A56" t="s">
        <v>34</v>
      </c>
      <c r="B56" t="s">
        <v>9</v>
      </c>
      <c r="C56" t="s">
        <v>9</v>
      </c>
      <c r="D56" s="3">
        <v>-0.12560972914084101</v>
      </c>
      <c r="E56" s="3">
        <v>-0.52110223773142705</v>
      </c>
      <c r="F56" s="3">
        <v>-0.163353165734407</v>
      </c>
      <c r="G56" s="3">
        <v>0.810065132606683</v>
      </c>
      <c r="H56">
        <f t="shared" si="2"/>
        <v>1</v>
      </c>
      <c r="I56">
        <f t="shared" si="3"/>
        <v>0.810065132606683</v>
      </c>
    </row>
    <row r="57" spans="1:9" x14ac:dyDescent="0.3">
      <c r="A57" t="s">
        <v>35</v>
      </c>
      <c r="B57" t="s">
        <v>9</v>
      </c>
      <c r="C57" t="s">
        <v>9</v>
      </c>
      <c r="D57" s="3">
        <v>-0.19007860373975699</v>
      </c>
      <c r="E57" s="3">
        <v>-0.27858110551895898</v>
      </c>
      <c r="F57" s="3">
        <v>-0.36026437685782497</v>
      </c>
      <c r="G57" s="1">
        <v>0.828924086116542</v>
      </c>
      <c r="H57">
        <f t="shared" si="2"/>
        <v>1</v>
      </c>
      <c r="I57">
        <f t="shared" si="3"/>
        <v>0.828924086116542</v>
      </c>
    </row>
    <row r="58" spans="1:9" x14ac:dyDescent="0.3">
      <c r="A58" t="s">
        <v>51</v>
      </c>
      <c r="B58" t="s">
        <v>14</v>
      </c>
      <c r="C58" t="s">
        <v>14</v>
      </c>
      <c r="D58" s="3">
        <v>-0.28260328500972898</v>
      </c>
      <c r="E58" s="3">
        <v>-0.127378798052764</v>
      </c>
      <c r="F58" s="1">
        <v>0.886622969629416</v>
      </c>
      <c r="G58" s="3">
        <v>-0.476640886566919</v>
      </c>
      <c r="H58">
        <f t="shared" si="2"/>
        <v>1</v>
      </c>
      <c r="I58">
        <f t="shared" si="3"/>
        <v>0.886622969629416</v>
      </c>
    </row>
    <row r="59" spans="1:9" x14ac:dyDescent="0.3">
      <c r="A59" t="s">
        <v>60</v>
      </c>
      <c r="B59" t="s">
        <v>9</v>
      </c>
      <c r="C59" t="s">
        <v>9</v>
      </c>
      <c r="D59" s="3">
        <v>-0.22643852389932501</v>
      </c>
      <c r="E59" s="3">
        <v>-0.30027950186305602</v>
      </c>
      <c r="F59" s="3">
        <v>-0.38202183524651601</v>
      </c>
      <c r="G59" s="1">
        <v>0.90873986100890303</v>
      </c>
      <c r="H59">
        <f t="shared" si="2"/>
        <v>1</v>
      </c>
      <c r="I59">
        <f t="shared" si="3"/>
        <v>0.90873986100890303</v>
      </c>
    </row>
    <row r="60" spans="1:9" x14ac:dyDescent="0.3">
      <c r="A60" t="s">
        <v>57</v>
      </c>
      <c r="B60" t="s">
        <v>9</v>
      </c>
      <c r="C60" t="s">
        <v>9</v>
      </c>
      <c r="D60" s="3">
        <v>-0.12305912640922299</v>
      </c>
      <c r="E60" s="3">
        <v>-0.42710729719696</v>
      </c>
      <c r="F60" s="3">
        <v>-0.382080081028212</v>
      </c>
      <c r="G60" s="1">
        <v>0.93224650463440495</v>
      </c>
      <c r="H60">
        <f t="shared" si="2"/>
        <v>1</v>
      </c>
      <c r="I60">
        <f t="shared" si="3"/>
        <v>0.93224650463440495</v>
      </c>
    </row>
    <row r="61" spans="1:9" x14ac:dyDescent="0.3">
      <c r="A61" t="s">
        <v>32</v>
      </c>
      <c r="B61" t="s">
        <v>9</v>
      </c>
      <c r="C61" t="s">
        <v>9</v>
      </c>
      <c r="D61" s="3">
        <v>-0.25815641557427899</v>
      </c>
      <c r="E61" s="3">
        <v>-0.36672926824359597</v>
      </c>
      <c r="F61" s="3">
        <v>-0.44841093483963801</v>
      </c>
      <c r="G61" s="1">
        <v>1.0732966186575099</v>
      </c>
      <c r="H61">
        <f t="shared" si="2"/>
        <v>1</v>
      </c>
      <c r="I61">
        <f t="shared" si="3"/>
        <v>1.0732966186575099</v>
      </c>
    </row>
    <row r="63" spans="1:9" x14ac:dyDescent="0.3">
      <c r="G63">
        <f>SUM(H:H)</f>
        <v>37</v>
      </c>
    </row>
  </sheetData>
  <sortState xmlns:xlrd2="http://schemas.microsoft.com/office/spreadsheetml/2017/richdata2" ref="A2:I61">
    <sortCondition ref="H2:H61"/>
    <sortCondition ref="I2:I6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A7F5-E3BB-495A-89A8-DBA67006A239}">
  <dimension ref="A1:G61"/>
  <sheetViews>
    <sheetView tabSelected="1" zoomScale="85" zoomScaleNormal="85" workbookViewId="0">
      <selection activeCell="J10" sqref="J10"/>
    </sheetView>
  </sheetViews>
  <sheetFormatPr defaultRowHeight="14.4" x14ac:dyDescent="0.3"/>
  <cols>
    <col min="1" max="1" width="68.33203125" bestFit="1" customWidth="1"/>
  </cols>
  <sheetData>
    <row r="1" spans="1:7" x14ac:dyDescent="0.3">
      <c r="A1" t="s">
        <v>69</v>
      </c>
      <c r="B1" s="1" t="s">
        <v>71</v>
      </c>
      <c r="C1" t="s">
        <v>74</v>
      </c>
      <c r="E1" t="s">
        <v>70</v>
      </c>
      <c r="F1" t="s">
        <v>72</v>
      </c>
      <c r="G1" t="s">
        <v>73</v>
      </c>
    </row>
    <row r="2" spans="1:7" x14ac:dyDescent="0.3">
      <c r="A2" t="s">
        <v>8</v>
      </c>
      <c r="B2" s="4" t="s">
        <v>3</v>
      </c>
      <c r="C2" s="4">
        <v>0.26616096623401603</v>
      </c>
      <c r="D2" t="s">
        <v>8</v>
      </c>
      <c r="E2" t="s">
        <v>9</v>
      </c>
      <c r="F2">
        <v>0</v>
      </c>
      <c r="G2">
        <v>6.4407134678529501E-2</v>
      </c>
    </row>
    <row r="3" spans="1:7" x14ac:dyDescent="0.3">
      <c r="A3" t="s">
        <v>41</v>
      </c>
      <c r="B3" s="4" t="s">
        <v>5</v>
      </c>
      <c r="C3" s="4">
        <v>0.26625665743431698</v>
      </c>
      <c r="D3" t="s">
        <v>41</v>
      </c>
      <c r="E3" t="s">
        <v>3</v>
      </c>
      <c r="F3">
        <v>0</v>
      </c>
      <c r="G3">
        <v>6.8231248831039995E-2</v>
      </c>
    </row>
    <row r="4" spans="1:7" x14ac:dyDescent="0.3">
      <c r="A4" t="s">
        <v>54</v>
      </c>
      <c r="B4" s="4" t="s">
        <v>14</v>
      </c>
      <c r="C4" s="4">
        <v>0.273074474289005</v>
      </c>
      <c r="D4" t="s">
        <v>54</v>
      </c>
      <c r="E4" t="s">
        <v>5</v>
      </c>
      <c r="F4">
        <v>0</v>
      </c>
      <c r="G4">
        <v>9.5859058052088095E-2</v>
      </c>
    </row>
    <row r="5" spans="1:7" x14ac:dyDescent="0.3">
      <c r="A5" t="s">
        <v>4</v>
      </c>
      <c r="B5" s="4" t="s">
        <v>3</v>
      </c>
      <c r="C5" s="4">
        <v>0.27318368800963799</v>
      </c>
      <c r="D5" t="s">
        <v>4</v>
      </c>
      <c r="E5" t="s">
        <v>5</v>
      </c>
      <c r="F5">
        <v>0</v>
      </c>
      <c r="G5">
        <v>9.08026810656863E-2</v>
      </c>
    </row>
    <row r="6" spans="1:7" x14ac:dyDescent="0.3">
      <c r="A6" t="s">
        <v>10</v>
      </c>
      <c r="B6" s="4" t="s">
        <v>3</v>
      </c>
      <c r="C6" s="4">
        <v>0.29383887036080297</v>
      </c>
      <c r="D6" t="s">
        <v>10</v>
      </c>
      <c r="E6" t="s">
        <v>5</v>
      </c>
      <c r="F6">
        <v>0</v>
      </c>
      <c r="G6">
        <v>0.17281451957417401</v>
      </c>
    </row>
    <row r="7" spans="1:7" x14ac:dyDescent="0.3">
      <c r="A7" t="s">
        <v>49</v>
      </c>
      <c r="B7" s="4" t="s">
        <v>3</v>
      </c>
      <c r="C7" s="4">
        <v>0.29952434125183203</v>
      </c>
      <c r="D7" t="s">
        <v>49</v>
      </c>
      <c r="E7" t="s">
        <v>5</v>
      </c>
      <c r="F7">
        <v>0</v>
      </c>
      <c r="G7">
        <v>0.19600849789882799</v>
      </c>
    </row>
    <row r="8" spans="1:7" x14ac:dyDescent="0.3">
      <c r="A8" t="s">
        <v>52</v>
      </c>
      <c r="B8" s="4" t="s">
        <v>14</v>
      </c>
      <c r="C8" s="4">
        <v>0.30079248446676199</v>
      </c>
      <c r="D8" t="s">
        <v>52</v>
      </c>
      <c r="E8" t="s">
        <v>5</v>
      </c>
      <c r="F8">
        <v>0</v>
      </c>
      <c r="G8">
        <v>0.19630032282731999</v>
      </c>
    </row>
    <row r="9" spans="1:7" x14ac:dyDescent="0.3">
      <c r="A9" t="s">
        <v>61</v>
      </c>
      <c r="B9" s="4" t="s">
        <v>5</v>
      </c>
      <c r="C9" s="4">
        <v>0.30264695083055498</v>
      </c>
      <c r="D9" t="s">
        <v>61</v>
      </c>
      <c r="E9" t="s">
        <v>3</v>
      </c>
      <c r="F9">
        <v>0</v>
      </c>
      <c r="G9">
        <v>0.199001470886319</v>
      </c>
    </row>
    <row r="10" spans="1:7" x14ac:dyDescent="0.3">
      <c r="A10" t="s">
        <v>48</v>
      </c>
      <c r="B10" s="4" t="s">
        <v>3</v>
      </c>
      <c r="C10" s="4">
        <v>0.30578924631509402</v>
      </c>
      <c r="D10" t="s">
        <v>48</v>
      </c>
      <c r="E10" t="s">
        <v>9</v>
      </c>
      <c r="F10">
        <v>0</v>
      </c>
      <c r="G10">
        <v>0.215764441015381</v>
      </c>
    </row>
    <row r="11" spans="1:7" x14ac:dyDescent="0.3">
      <c r="A11" t="s">
        <v>33</v>
      </c>
      <c r="B11" s="4" t="s">
        <v>9</v>
      </c>
      <c r="C11" s="4">
        <v>0.30669161897408198</v>
      </c>
      <c r="D11" t="s">
        <v>33</v>
      </c>
      <c r="E11" t="s">
        <v>3</v>
      </c>
      <c r="F11">
        <v>0</v>
      </c>
      <c r="G11">
        <v>0.21719782312466199</v>
      </c>
    </row>
    <row r="12" spans="1:7" x14ac:dyDescent="0.3">
      <c r="A12" t="s">
        <v>13</v>
      </c>
      <c r="B12" s="4" t="s">
        <v>3</v>
      </c>
      <c r="C12" s="4">
        <v>0.30983173188021501</v>
      </c>
      <c r="D12" t="s">
        <v>13</v>
      </c>
      <c r="E12" t="s">
        <v>14</v>
      </c>
      <c r="F12">
        <v>0</v>
      </c>
      <c r="G12">
        <v>0.23101433640115601</v>
      </c>
    </row>
    <row r="13" spans="1:7" x14ac:dyDescent="0.3">
      <c r="A13" t="s">
        <v>19</v>
      </c>
      <c r="B13" s="4" t="s">
        <v>14</v>
      </c>
      <c r="C13" s="4">
        <v>0.31028752190533798</v>
      </c>
      <c r="D13" t="s">
        <v>19</v>
      </c>
      <c r="E13" t="s">
        <v>3</v>
      </c>
      <c r="F13">
        <v>0</v>
      </c>
      <c r="G13">
        <v>0.24423152634370701</v>
      </c>
    </row>
    <row r="14" spans="1:7" x14ac:dyDescent="0.3">
      <c r="A14" t="s">
        <v>38</v>
      </c>
      <c r="B14" s="4" t="s">
        <v>5</v>
      </c>
      <c r="C14" s="4">
        <v>0.31236200173079998</v>
      </c>
      <c r="D14" t="s">
        <v>38</v>
      </c>
      <c r="E14" t="s">
        <v>14</v>
      </c>
      <c r="F14">
        <v>0</v>
      </c>
      <c r="G14">
        <v>0.235146130342205</v>
      </c>
    </row>
    <row r="15" spans="1:7" x14ac:dyDescent="0.3">
      <c r="A15" t="s">
        <v>39</v>
      </c>
      <c r="B15" s="4" t="s">
        <v>5</v>
      </c>
      <c r="C15" s="4">
        <v>0.31513621467993003</v>
      </c>
      <c r="D15" t="s">
        <v>39</v>
      </c>
      <c r="E15" t="s">
        <v>3</v>
      </c>
      <c r="F15">
        <v>0</v>
      </c>
      <c r="G15">
        <v>0.25437190166905399</v>
      </c>
    </row>
    <row r="16" spans="1:7" x14ac:dyDescent="0.3">
      <c r="A16" t="s">
        <v>15</v>
      </c>
      <c r="B16" s="4" t="s">
        <v>3</v>
      </c>
      <c r="C16" s="4">
        <v>0.31670175758617197</v>
      </c>
      <c r="D16" t="s">
        <v>15</v>
      </c>
      <c r="E16" t="s">
        <v>5</v>
      </c>
      <c r="F16">
        <v>0</v>
      </c>
      <c r="G16">
        <v>0.26414123790034699</v>
      </c>
    </row>
    <row r="17" spans="1:7" x14ac:dyDescent="0.3">
      <c r="A17" t="s">
        <v>20</v>
      </c>
      <c r="B17" s="4" t="s">
        <v>14</v>
      </c>
      <c r="C17" s="4">
        <v>0.319082644425222</v>
      </c>
      <c r="D17" t="s">
        <v>20</v>
      </c>
      <c r="E17" t="s">
        <v>5</v>
      </c>
      <c r="F17">
        <v>0</v>
      </c>
      <c r="G17">
        <v>0.25571981820454498</v>
      </c>
    </row>
    <row r="18" spans="1:7" x14ac:dyDescent="0.3">
      <c r="A18" t="s">
        <v>64</v>
      </c>
      <c r="B18" s="4" t="s">
        <v>5</v>
      </c>
      <c r="C18" s="4">
        <v>0.33666593368013797</v>
      </c>
      <c r="D18" t="s">
        <v>64</v>
      </c>
      <c r="E18" t="s">
        <v>3</v>
      </c>
      <c r="F18">
        <v>0</v>
      </c>
      <c r="G18">
        <v>0.339965731825564</v>
      </c>
    </row>
    <row r="19" spans="1:7" x14ac:dyDescent="0.3">
      <c r="A19" t="s">
        <v>11</v>
      </c>
      <c r="B19" s="4" t="s">
        <v>3</v>
      </c>
      <c r="C19" s="4">
        <v>0.33868056948148301</v>
      </c>
      <c r="D19" t="s">
        <v>11</v>
      </c>
      <c r="E19" t="s">
        <v>5</v>
      </c>
      <c r="F19">
        <v>0</v>
      </c>
      <c r="G19">
        <v>0.348328592917381</v>
      </c>
    </row>
    <row r="20" spans="1:7" x14ac:dyDescent="0.3">
      <c r="A20" t="s">
        <v>29</v>
      </c>
      <c r="B20" s="4" t="s">
        <v>9</v>
      </c>
      <c r="C20" s="4">
        <v>0.33967737531686898</v>
      </c>
      <c r="D20" t="s">
        <v>29</v>
      </c>
      <c r="E20" t="s">
        <v>14</v>
      </c>
      <c r="F20">
        <v>0</v>
      </c>
      <c r="G20">
        <v>0.34253345870566299</v>
      </c>
    </row>
    <row r="21" spans="1:7" x14ac:dyDescent="0.3">
      <c r="A21" t="s">
        <v>45</v>
      </c>
      <c r="B21" s="4" t="s">
        <v>5</v>
      </c>
      <c r="C21" s="4">
        <v>0.360725993735245</v>
      </c>
      <c r="D21" t="s">
        <v>45</v>
      </c>
      <c r="E21" t="s">
        <v>3</v>
      </c>
      <c r="F21">
        <v>0</v>
      </c>
      <c r="G21">
        <v>0.44000284000936102</v>
      </c>
    </row>
    <row r="22" spans="1:7" x14ac:dyDescent="0.3">
      <c r="A22" t="s">
        <v>46</v>
      </c>
      <c r="B22" s="4" t="s">
        <v>3</v>
      </c>
      <c r="C22" s="4">
        <v>0.36713397986806801</v>
      </c>
      <c r="D22" t="s">
        <v>46</v>
      </c>
      <c r="E22" t="s">
        <v>9</v>
      </c>
      <c r="F22">
        <v>0</v>
      </c>
      <c r="G22">
        <v>0.42529359898136798</v>
      </c>
    </row>
    <row r="23" spans="1:7" x14ac:dyDescent="0.3">
      <c r="A23" t="s">
        <v>12</v>
      </c>
      <c r="B23" s="4" t="s">
        <v>3</v>
      </c>
      <c r="C23" s="4">
        <v>0.367294497320938</v>
      </c>
      <c r="D23" t="s">
        <v>12</v>
      </c>
      <c r="E23" t="s">
        <v>5</v>
      </c>
      <c r="F23">
        <v>0</v>
      </c>
      <c r="G23">
        <v>0.42530407814309301</v>
      </c>
    </row>
    <row r="24" spans="1:7" x14ac:dyDescent="0.3">
      <c r="A24" t="s">
        <v>40</v>
      </c>
      <c r="B24" s="4" t="s">
        <v>5</v>
      </c>
      <c r="C24" s="4">
        <v>0.37467158909293102</v>
      </c>
      <c r="D24" t="s">
        <v>40</v>
      </c>
      <c r="E24" t="s">
        <v>3</v>
      </c>
      <c r="F24">
        <v>0</v>
      </c>
      <c r="G24">
        <v>0.45951778046686997</v>
      </c>
    </row>
    <row r="25" spans="1:7" x14ac:dyDescent="0.3">
      <c r="A25" t="s">
        <v>2</v>
      </c>
      <c r="B25" s="4" t="s">
        <v>3</v>
      </c>
      <c r="C25" s="4">
        <v>0.27125581312792002</v>
      </c>
      <c r="D25" t="s">
        <v>2</v>
      </c>
      <c r="E25" t="s">
        <v>3</v>
      </c>
      <c r="F25">
        <v>1</v>
      </c>
      <c r="G25">
        <v>8.5396024769925194E-2</v>
      </c>
    </row>
    <row r="26" spans="1:7" x14ac:dyDescent="0.3">
      <c r="A26" t="s">
        <v>25</v>
      </c>
      <c r="B26" s="4" t="s">
        <v>14</v>
      </c>
      <c r="C26" s="4">
        <v>0.27717940434194399</v>
      </c>
      <c r="D26" t="s">
        <v>25</v>
      </c>
      <c r="E26" t="s">
        <v>14</v>
      </c>
      <c r="F26">
        <v>1</v>
      </c>
      <c r="G26">
        <v>0.10776395774057</v>
      </c>
    </row>
    <row r="27" spans="1:7" x14ac:dyDescent="0.3">
      <c r="A27" t="s">
        <v>44</v>
      </c>
      <c r="B27" s="4" t="s">
        <v>5</v>
      </c>
      <c r="C27" s="4">
        <v>0.29504889381838301</v>
      </c>
      <c r="D27" t="s">
        <v>44</v>
      </c>
      <c r="E27" t="s">
        <v>5</v>
      </c>
      <c r="F27">
        <v>1</v>
      </c>
      <c r="G27">
        <v>0.18385278653864801</v>
      </c>
    </row>
    <row r="28" spans="1:7" x14ac:dyDescent="0.3">
      <c r="A28" t="s">
        <v>7</v>
      </c>
      <c r="B28" s="4" t="s">
        <v>3</v>
      </c>
      <c r="C28" s="4">
        <v>0.29866342647369698</v>
      </c>
      <c r="D28" t="s">
        <v>7</v>
      </c>
      <c r="E28" t="s">
        <v>3</v>
      </c>
      <c r="F28">
        <v>1</v>
      </c>
      <c r="G28">
        <v>0.19118311361540599</v>
      </c>
    </row>
    <row r="29" spans="1:7" x14ac:dyDescent="0.3">
      <c r="A29" t="s">
        <v>36</v>
      </c>
      <c r="B29" s="4" t="s">
        <v>5</v>
      </c>
      <c r="C29" s="4">
        <v>0.30154779293817202</v>
      </c>
      <c r="D29" t="s">
        <v>36</v>
      </c>
      <c r="E29" t="s">
        <v>5</v>
      </c>
      <c r="F29">
        <v>1</v>
      </c>
      <c r="G29">
        <v>0.208446551427831</v>
      </c>
    </row>
    <row r="30" spans="1:7" x14ac:dyDescent="0.3">
      <c r="A30" t="s">
        <v>42</v>
      </c>
      <c r="B30" s="4" t="s">
        <v>5</v>
      </c>
      <c r="C30" s="4">
        <v>0.30293430085148199</v>
      </c>
      <c r="D30" t="s">
        <v>42</v>
      </c>
      <c r="E30" t="s">
        <v>5</v>
      </c>
      <c r="F30">
        <v>1</v>
      </c>
      <c r="G30">
        <v>0.214286030904971</v>
      </c>
    </row>
    <row r="31" spans="1:7" x14ac:dyDescent="0.3">
      <c r="A31" t="s">
        <v>63</v>
      </c>
      <c r="B31" s="4" t="s">
        <v>5</v>
      </c>
      <c r="C31" s="4">
        <v>0.31005870317567102</v>
      </c>
      <c r="D31" t="s">
        <v>63</v>
      </c>
      <c r="E31" t="s">
        <v>5</v>
      </c>
      <c r="F31">
        <v>1</v>
      </c>
      <c r="G31">
        <v>0.240220707583474</v>
      </c>
    </row>
    <row r="32" spans="1:7" x14ac:dyDescent="0.3">
      <c r="A32" t="s">
        <v>31</v>
      </c>
      <c r="B32" s="4" t="s">
        <v>9</v>
      </c>
      <c r="C32" s="4">
        <v>0.31050553553628601</v>
      </c>
      <c r="D32" t="s">
        <v>31</v>
      </c>
      <c r="E32" t="s">
        <v>9</v>
      </c>
      <c r="F32">
        <v>1</v>
      </c>
      <c r="G32">
        <v>0.23029873666737699</v>
      </c>
    </row>
    <row r="33" spans="1:7" x14ac:dyDescent="0.3">
      <c r="A33" t="s">
        <v>6</v>
      </c>
      <c r="B33" s="4" t="s">
        <v>3</v>
      </c>
      <c r="C33" s="4">
        <v>0.32296654180199003</v>
      </c>
      <c r="D33" t="s">
        <v>6</v>
      </c>
      <c r="E33" t="s">
        <v>3</v>
      </c>
      <c r="F33">
        <v>1</v>
      </c>
      <c r="G33">
        <v>0.27093686308216602</v>
      </c>
    </row>
    <row r="34" spans="1:7" x14ac:dyDescent="0.3">
      <c r="A34" t="s">
        <v>17</v>
      </c>
      <c r="B34" s="4" t="s">
        <v>14</v>
      </c>
      <c r="C34" s="4">
        <v>0.32816778056378498</v>
      </c>
      <c r="D34" t="s">
        <v>17</v>
      </c>
      <c r="E34" t="s">
        <v>14</v>
      </c>
      <c r="F34">
        <v>1</v>
      </c>
      <c r="G34">
        <v>0.29559013863500799</v>
      </c>
    </row>
    <row r="35" spans="1:7" x14ac:dyDescent="0.3">
      <c r="A35" t="s">
        <v>62</v>
      </c>
      <c r="B35" s="4" t="s">
        <v>5</v>
      </c>
      <c r="C35" s="4">
        <v>0.33019574746639302</v>
      </c>
      <c r="D35" t="s">
        <v>62</v>
      </c>
      <c r="E35" t="s">
        <v>5</v>
      </c>
      <c r="F35">
        <v>1</v>
      </c>
      <c r="G35">
        <v>0.30254816290451803</v>
      </c>
    </row>
    <row r="36" spans="1:7" x14ac:dyDescent="0.3">
      <c r="A36" t="s">
        <v>55</v>
      </c>
      <c r="B36" s="4" t="s">
        <v>14</v>
      </c>
      <c r="C36" s="4">
        <v>0.33117498463170397</v>
      </c>
      <c r="D36" t="s">
        <v>55</v>
      </c>
      <c r="E36" t="s">
        <v>14</v>
      </c>
      <c r="F36">
        <v>1</v>
      </c>
      <c r="G36">
        <v>0.29727201492984501</v>
      </c>
    </row>
    <row r="37" spans="1:7" x14ac:dyDescent="0.3">
      <c r="A37" t="s">
        <v>37</v>
      </c>
      <c r="B37" s="4" t="s">
        <v>5</v>
      </c>
      <c r="C37" s="4">
        <v>0.33898511272642201</v>
      </c>
      <c r="D37" t="s">
        <v>37</v>
      </c>
      <c r="E37" t="s">
        <v>5</v>
      </c>
      <c r="F37">
        <v>1</v>
      </c>
      <c r="G37">
        <v>0.33198893811514502</v>
      </c>
    </row>
    <row r="38" spans="1:7" x14ac:dyDescent="0.3">
      <c r="A38" t="s">
        <v>50</v>
      </c>
      <c r="B38" s="4" t="s">
        <v>3</v>
      </c>
      <c r="C38" s="4">
        <v>0.35911994030210698</v>
      </c>
      <c r="D38" t="s">
        <v>50</v>
      </c>
      <c r="E38" t="s">
        <v>3</v>
      </c>
      <c r="F38">
        <v>1</v>
      </c>
      <c r="G38">
        <v>0.43795987368656902</v>
      </c>
    </row>
    <row r="39" spans="1:7" x14ac:dyDescent="0.3">
      <c r="A39" t="s">
        <v>53</v>
      </c>
      <c r="B39" s="4" t="s">
        <v>14</v>
      </c>
      <c r="C39" s="4">
        <v>0.36140655930986298</v>
      </c>
      <c r="D39" t="s">
        <v>53</v>
      </c>
      <c r="E39" t="s">
        <v>14</v>
      </c>
      <c r="F39">
        <v>1</v>
      </c>
      <c r="G39">
        <v>0.39733983952372298</v>
      </c>
    </row>
    <row r="40" spans="1:7" x14ac:dyDescent="0.3">
      <c r="A40" t="s">
        <v>18</v>
      </c>
      <c r="B40" s="4" t="s">
        <v>14</v>
      </c>
      <c r="C40" s="4">
        <v>0.36451605069739601</v>
      </c>
      <c r="D40" t="s">
        <v>18</v>
      </c>
      <c r="E40" t="s">
        <v>14</v>
      </c>
      <c r="F40">
        <v>1</v>
      </c>
      <c r="G40">
        <v>0.40752812019811502</v>
      </c>
    </row>
    <row r="41" spans="1:7" x14ac:dyDescent="0.3">
      <c r="A41" t="s">
        <v>24</v>
      </c>
      <c r="B41" s="4" t="s">
        <v>14</v>
      </c>
      <c r="C41" s="4">
        <v>0.36607481946979398</v>
      </c>
      <c r="D41" t="s">
        <v>24</v>
      </c>
      <c r="E41" t="s">
        <v>14</v>
      </c>
      <c r="F41">
        <v>1</v>
      </c>
      <c r="G41">
        <v>0.41550991066725002</v>
      </c>
    </row>
    <row r="42" spans="1:7" x14ac:dyDescent="0.3">
      <c r="A42" t="s">
        <v>58</v>
      </c>
      <c r="B42" s="4" t="s">
        <v>9</v>
      </c>
      <c r="C42" s="4">
        <v>0.36631252856573199</v>
      </c>
      <c r="D42" t="s">
        <v>58</v>
      </c>
      <c r="E42" t="s">
        <v>9</v>
      </c>
      <c r="F42">
        <v>1</v>
      </c>
      <c r="G42">
        <v>0.42246211417248802</v>
      </c>
    </row>
    <row r="43" spans="1:7" x14ac:dyDescent="0.3">
      <c r="A43" t="s">
        <v>47</v>
      </c>
      <c r="B43" s="4" t="s">
        <v>3</v>
      </c>
      <c r="C43" s="4">
        <v>0.36643377260855398</v>
      </c>
      <c r="D43" t="s">
        <v>47</v>
      </c>
      <c r="E43" t="s">
        <v>3</v>
      </c>
      <c r="F43">
        <v>1</v>
      </c>
      <c r="G43">
        <v>0.41559022629104703</v>
      </c>
    </row>
    <row r="44" spans="1:7" x14ac:dyDescent="0.3">
      <c r="A44" t="s">
        <v>43</v>
      </c>
      <c r="B44" s="4" t="s">
        <v>5</v>
      </c>
      <c r="C44" s="4">
        <v>0.36658491010413202</v>
      </c>
      <c r="D44" t="s">
        <v>43</v>
      </c>
      <c r="E44" t="s">
        <v>5</v>
      </c>
      <c r="F44">
        <v>1</v>
      </c>
      <c r="G44">
        <v>0.42321018469025701</v>
      </c>
    </row>
    <row r="45" spans="1:7" x14ac:dyDescent="0.3">
      <c r="A45" t="s">
        <v>65</v>
      </c>
      <c r="B45" s="4" t="s">
        <v>5</v>
      </c>
      <c r="C45" s="4">
        <v>0.368953927907132</v>
      </c>
      <c r="D45" t="s">
        <v>65</v>
      </c>
      <c r="E45" t="s">
        <v>5</v>
      </c>
      <c r="F45">
        <v>1</v>
      </c>
      <c r="G45">
        <v>0.42827507585855801</v>
      </c>
    </row>
    <row r="46" spans="1:7" x14ac:dyDescent="0.3">
      <c r="A46" t="s">
        <v>22</v>
      </c>
      <c r="B46" s="4" t="s">
        <v>14</v>
      </c>
      <c r="C46" s="4">
        <v>0.37886013499276999</v>
      </c>
      <c r="D46" t="s">
        <v>22</v>
      </c>
      <c r="E46" t="s">
        <v>14</v>
      </c>
      <c r="F46">
        <v>1</v>
      </c>
      <c r="G46">
        <v>0.45408573899961102</v>
      </c>
    </row>
    <row r="47" spans="1:7" x14ac:dyDescent="0.3">
      <c r="A47" t="s">
        <v>28</v>
      </c>
      <c r="B47" s="4" t="s">
        <v>9</v>
      </c>
      <c r="C47" s="4">
        <v>0.383572130095299</v>
      </c>
      <c r="D47" t="s">
        <v>28</v>
      </c>
      <c r="E47" t="s">
        <v>9</v>
      </c>
      <c r="F47">
        <v>1</v>
      </c>
      <c r="G47">
        <v>0.47333786925280003</v>
      </c>
    </row>
    <row r="48" spans="1:7" x14ac:dyDescent="0.3">
      <c r="A48" t="s">
        <v>16</v>
      </c>
      <c r="B48" s="4" t="s">
        <v>14</v>
      </c>
      <c r="C48" s="4">
        <v>0.40128670053320697</v>
      </c>
      <c r="D48" t="s">
        <v>16</v>
      </c>
      <c r="E48" t="s">
        <v>14</v>
      </c>
      <c r="F48">
        <v>1</v>
      </c>
      <c r="G48">
        <v>0.54106343021701997</v>
      </c>
    </row>
    <row r="49" spans="1:7" x14ac:dyDescent="0.3">
      <c r="A49" t="s">
        <v>56</v>
      </c>
      <c r="B49" s="4" t="s">
        <v>9</v>
      </c>
      <c r="C49" s="4">
        <v>0.40739831453913</v>
      </c>
      <c r="D49" t="s">
        <v>56</v>
      </c>
      <c r="E49" t="s">
        <v>9</v>
      </c>
      <c r="F49">
        <v>1</v>
      </c>
      <c r="G49">
        <v>0.55111047137903901</v>
      </c>
    </row>
    <row r="50" spans="1:7" x14ac:dyDescent="0.3">
      <c r="A50" t="s">
        <v>23</v>
      </c>
      <c r="B50" s="4" t="s">
        <v>14</v>
      </c>
      <c r="C50" s="4">
        <v>0.416725726793234</v>
      </c>
      <c r="D50" t="s">
        <v>23</v>
      </c>
      <c r="E50" t="s">
        <v>14</v>
      </c>
      <c r="F50">
        <v>1</v>
      </c>
      <c r="G50">
        <v>0.57601187113041097</v>
      </c>
    </row>
    <row r="51" spans="1:7" x14ac:dyDescent="0.3">
      <c r="A51" t="s">
        <v>21</v>
      </c>
      <c r="B51" s="4" t="s">
        <v>14</v>
      </c>
      <c r="C51" s="4">
        <v>0.42088877533700497</v>
      </c>
      <c r="D51" t="s">
        <v>21</v>
      </c>
      <c r="E51" t="s">
        <v>14</v>
      </c>
      <c r="F51">
        <v>1</v>
      </c>
      <c r="G51">
        <v>0.59016178213209203</v>
      </c>
    </row>
    <row r="52" spans="1:7" x14ac:dyDescent="0.3">
      <c r="A52" t="s">
        <v>26</v>
      </c>
      <c r="B52" s="4" t="s">
        <v>9</v>
      </c>
      <c r="C52" s="4">
        <v>0.45040976446463898</v>
      </c>
      <c r="D52" t="s">
        <v>26</v>
      </c>
      <c r="E52" t="s">
        <v>9</v>
      </c>
      <c r="F52">
        <v>1</v>
      </c>
      <c r="G52">
        <v>0.68498295662748898</v>
      </c>
    </row>
    <row r="53" spans="1:7" x14ac:dyDescent="0.3">
      <c r="A53" t="s">
        <v>59</v>
      </c>
      <c r="B53" s="4" t="s">
        <v>9</v>
      </c>
      <c r="C53" s="4">
        <v>0.46131274991004201</v>
      </c>
      <c r="D53" t="s">
        <v>59</v>
      </c>
      <c r="E53" t="s">
        <v>9</v>
      </c>
      <c r="F53">
        <v>1</v>
      </c>
      <c r="G53">
        <v>0.71072384936974298</v>
      </c>
    </row>
    <row r="54" spans="1:7" x14ac:dyDescent="0.3">
      <c r="A54" t="s">
        <v>30</v>
      </c>
      <c r="B54" s="4" t="s">
        <v>9</v>
      </c>
      <c r="C54" s="4">
        <v>0.47651337632810697</v>
      </c>
      <c r="D54" t="s">
        <v>30</v>
      </c>
      <c r="E54" t="s">
        <v>9</v>
      </c>
      <c r="F54">
        <v>1</v>
      </c>
      <c r="G54">
        <v>0.75467003463636095</v>
      </c>
    </row>
    <row r="55" spans="1:7" x14ac:dyDescent="0.3">
      <c r="A55" t="s">
        <v>27</v>
      </c>
      <c r="B55" s="4" t="s">
        <v>9</v>
      </c>
      <c r="C55" s="4">
        <v>0.47773743271082098</v>
      </c>
      <c r="D55" t="s">
        <v>27</v>
      </c>
      <c r="E55" t="s">
        <v>9</v>
      </c>
      <c r="F55">
        <v>1</v>
      </c>
      <c r="G55">
        <v>0.758487732748934</v>
      </c>
    </row>
    <row r="56" spans="1:7" x14ac:dyDescent="0.3">
      <c r="A56" t="s">
        <v>34</v>
      </c>
      <c r="B56" s="4" t="s">
        <v>9</v>
      </c>
      <c r="C56" s="4">
        <v>0.491574621464266</v>
      </c>
      <c r="D56" t="s">
        <v>34</v>
      </c>
      <c r="E56" t="s">
        <v>9</v>
      </c>
      <c r="F56">
        <v>1</v>
      </c>
      <c r="G56">
        <v>0.810065132606683</v>
      </c>
    </row>
    <row r="57" spans="1:7" x14ac:dyDescent="0.3">
      <c r="A57" t="s">
        <v>35</v>
      </c>
      <c r="B57" s="4" t="s">
        <v>9</v>
      </c>
      <c r="C57" s="4">
        <v>0.50105091179191896</v>
      </c>
      <c r="D57" t="s">
        <v>35</v>
      </c>
      <c r="E57" t="s">
        <v>9</v>
      </c>
      <c r="F57">
        <v>1</v>
      </c>
      <c r="G57">
        <v>0.828924086116542</v>
      </c>
    </row>
    <row r="58" spans="1:7" x14ac:dyDescent="0.3">
      <c r="A58" t="s">
        <v>51</v>
      </c>
      <c r="B58" s="4" t="s">
        <v>14</v>
      </c>
      <c r="C58" s="4">
        <v>0.51835065235535105</v>
      </c>
      <c r="D58" t="s">
        <v>51</v>
      </c>
      <c r="E58" t="s">
        <v>14</v>
      </c>
      <c r="F58">
        <v>1</v>
      </c>
      <c r="G58">
        <v>0.886622969629416</v>
      </c>
    </row>
    <row r="59" spans="1:7" x14ac:dyDescent="0.3">
      <c r="A59" t="s">
        <v>60</v>
      </c>
      <c r="B59" s="4" t="s">
        <v>9</v>
      </c>
      <c r="C59" s="4">
        <v>0.52772792664137003</v>
      </c>
      <c r="D59" t="s">
        <v>60</v>
      </c>
      <c r="E59" t="s">
        <v>9</v>
      </c>
      <c r="F59">
        <v>1</v>
      </c>
      <c r="G59">
        <v>0.90873986100890303</v>
      </c>
    </row>
    <row r="60" spans="1:7" x14ac:dyDescent="0.3">
      <c r="A60" t="s">
        <v>57</v>
      </c>
      <c r="B60" s="4" t="s">
        <v>9</v>
      </c>
      <c r="C60" s="4">
        <v>0.53374100100517397</v>
      </c>
      <c r="D60" t="s">
        <v>57</v>
      </c>
      <c r="E60" t="s">
        <v>9</v>
      </c>
      <c r="F60">
        <v>1</v>
      </c>
      <c r="G60">
        <v>0.93224650463440495</v>
      </c>
    </row>
    <row r="61" spans="1:7" x14ac:dyDescent="0.3">
      <c r="A61" t="s">
        <v>32</v>
      </c>
      <c r="B61" s="4" t="s">
        <v>9</v>
      </c>
      <c r="C61" s="4">
        <v>0.58161392250765798</v>
      </c>
      <c r="D61" t="s">
        <v>32</v>
      </c>
      <c r="E61" t="s">
        <v>9</v>
      </c>
      <c r="F61">
        <v>1</v>
      </c>
      <c r="G61">
        <v>1.0732966186575099</v>
      </c>
    </row>
  </sheetData>
  <sortState xmlns:xlrd2="http://schemas.microsoft.com/office/spreadsheetml/2017/richdata2" ref="A2:G61">
    <sortCondition ref="F2:F61"/>
    <sortCondition ref="C2:C6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log_reg_adv_t_mdf1_ngM1_nl2_idf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2026-10-29T02:20:45Z</dcterms:created>
  <dcterms:modified xsi:type="dcterms:W3CDTF">2026-10-31T09:03:34Z</dcterms:modified>
</cp:coreProperties>
</file>